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mber\OneDrive\Desktop\"/>
    </mc:Choice>
  </mc:AlternateContent>
  <xr:revisionPtr revIDLastSave="0" documentId="13_ncr:1_{33682C36-92A7-4F50-810E-94EBB53AA921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MATRICE MCDA" sheetId="1" r:id="rId1"/>
    <sheet name="PESI &amp; CONFIGURAZIONE" sheetId="2" r:id="rId2"/>
    <sheet name="ARCHITETTURA SISTEMA IBRIDO" sheetId="3" r:id="rId3"/>
    <sheet name="ISTRUZIONI &amp; GLOSSARIO" sheetId="4" r:id="rId4"/>
  </sheets>
  <definedNames>
    <definedName name="_xlnm._FilterDatabase" localSheetId="0" hidden="1">'MATRICE MCDA'!$A$4:$AR$24</definedName>
  </definedNames>
  <calcPr calcId="0"/>
</workbook>
</file>

<file path=xl/sharedStrings.xml><?xml version="1.0" encoding="utf-8"?>
<sst xmlns="http://schemas.openxmlformats.org/spreadsheetml/2006/main" count="1274" uniqueCount="740">
  <si>
    <t>Analisi di mercato tecnologie monitoraggio odorigeno per raffineria  |  Pesi: Compliance 40% | Performance 25% | Interoperabilità 20% | Economico 15%  |  Celle GIALLE = editabili  |  Celle GRIGIE = calcolate automaticamente  |  ⚠️ FLAG ROSSO = NON ATEX  |  ✅ = Audit-Ready ARPA</t>
  </si>
  <si>
    <t>A — IDENTIFICAZIONE</t>
  </si>
  <si>
    <t>B — COMPLIANCE &amp; SAFETY  (40%)</t>
  </si>
  <si>
    <t>C — PERFORMANCE TECNICA  (25%)</t>
  </si>
  <si>
    <t>D — INTEROPERABILITÀ  (20%)</t>
  </si>
  <si>
    <t>E — SOSTENIBILITÀ ECONOMICA (15%)</t>
  </si>
  <si>
    <t>F — RUOLO NEL SISTEMA IBRIDO</t>
  </si>
  <si>
    <t>G — PUNTEGGIO MCDA</t>
  </si>
  <si>
    <t>ID</t>
  </si>
  <si>
    <t>Categoria
Tecnologica</t>
  </si>
  <si>
    <t>Sottocategoria</t>
  </si>
  <si>
    <t>Fornitore e Modello</t>
  </si>
  <si>
    <t>Link Fornitore</t>
  </si>
  <si>
    <t>Anno
Dati</t>
  </si>
  <si>
    <t>ATEX
Certificato?</t>
  </si>
  <si>
    <t>Zona ATEX
Compatibile</t>
  </si>
  <si>
    <t>Conformità
UNI EN 13725</t>
  </si>
  <si>
    <t>Conformità
SNPA 268/2025</t>
  </si>
  <si>
    <t>Tipo Misura
IOMS (UNI 11761)</t>
  </si>
  <si>
    <t>Protezione
IP</t>
  </si>
  <si>
    <t>Certificazioni
Aggiuntive</t>
  </si>
  <si>
    <t>PUNTEGGIO
COMPLIANCE
(0–10)</t>
  </si>
  <si>
    <t>Gas / Parametri
Rilevati</t>
  </si>
  <si>
    <t>LOD
(ppb)</t>
  </si>
  <si>
    <t>Range
di Misura</t>
  </si>
  <si>
    <t>Tempo di
Risposta (s)</t>
  </si>
  <si>
    <t>Modalità
Operativa</t>
  </si>
  <si>
    <t>Ricalibrazione
(mesi)</t>
  </si>
  <si>
    <t>Accuratezza
Dichiarata</t>
  </si>
  <si>
    <t>T min
(°C)</t>
  </si>
  <si>
    <t>PUNTEGGIO
PERFORMANCE
(0–10)</t>
  </si>
  <si>
    <t>MQTT</t>
  </si>
  <si>
    <t>Modbus</t>
  </si>
  <si>
    <t>API REST</t>
  </si>
  <si>
    <t>LoRaWAN</t>
  </si>
  <si>
    <t>4G / LTE</t>
  </si>
  <si>
    <t>RS485</t>
  </si>
  <si>
    <t>Analogico
4–20 mA</t>
  </si>
  <si>
    <t>SW Proprietario
Chiuso?</t>
  </si>
  <si>
    <t>Cloud /
On-premise</t>
  </si>
  <si>
    <t>Facilità
Integrazione
(1–5)</t>
  </si>
  <si>
    <t>PUNTEGGIO
INTEROPERABILITÀ
(0–10)</t>
  </si>
  <si>
    <t>CAPEX
Stimato (€)</t>
  </si>
  <si>
    <t>OPEX
Annuo (€/a)</t>
  </si>
  <si>
    <t>TCO
5 Anni (€)</t>
  </si>
  <si>
    <t>Vita Utile
(anni)</t>
  </si>
  <si>
    <t>Supporto
Italia</t>
  </si>
  <si>
    <t>Ruolo nel
Sistema Ibrido</t>
  </si>
  <si>
    <t>Molecole
Target</t>
  </si>
  <si>
    <t>Note Operative</t>
  </si>
  <si>
    <t>PUNTEGGIO
MCDA FINALE
(0–10)</t>
  </si>
  <si>
    <t>RANKING
#</t>
  </si>
  <si>
    <t>S-001</t>
  </si>
  <si>
    <t>PID/FID</t>
  </si>
  <si>
    <t>Fotoionizzazione (PID)</t>
  </si>
  <si>
    <t>Ion Science — Falco Fixed VOC Monitor</t>
  </si>
  <si>
    <t>https://ionscience.com/en/</t>
  </si>
  <si>
    <t>Sì</t>
  </si>
  <si>
    <t>Zona 0/1/2</t>
  </si>
  <si>
    <t>No</t>
  </si>
  <si>
    <t>Parziale</t>
  </si>
  <si>
    <t>A</t>
  </si>
  <si>
    <t>IP66</t>
  </si>
  <si>
    <t>ATEX II 1G; CE; IECEx</t>
  </si>
  <si>
    <t>VOC totali; Benzene; Aromatici (BTEX)</t>
  </si>
  <si>
    <t>0.001</t>
  </si>
  <si>
    <t>0–2000 ppm</t>
  </si>
  <si>
    <t>2</t>
  </si>
  <si>
    <t>Continuo</t>
  </si>
  <si>
    <t>12</t>
  </si>
  <si>
    <t>±2%</t>
  </si>
  <si>
    <t>-20</t>
  </si>
  <si>
    <t>On-premise</t>
  </si>
  <si>
    <t>3</t>
  </si>
  <si>
    <t>Sentinella Continua | Sorgente Puntuale</t>
  </si>
  <si>
    <t>VOC; Benzene; Aromatici (BTEX)</t>
  </si>
  <si>
    <t>Fondamentale per raffinerie Eni. ATEX Zona 0/1 — installabile in aree classificate. LOD sub-ppb. Raccomandato per monitoraggio emissioni convogliate e aree di carico/scarico.</t>
  </si>
  <si>
    <t>S-002</t>
  </si>
  <si>
    <t>IOMS / Naso Elettronico</t>
  </si>
  <si>
    <t>Sistema IOMS multi-parametro</t>
  </si>
  <si>
    <t>Oizom — Odosense Pro</t>
  </si>
  <si>
    <t>https://oizom.com</t>
  </si>
  <si>
    <t>Opzionale</t>
  </si>
  <si>
    <t>NA</t>
  </si>
  <si>
    <t>A/B</t>
  </si>
  <si>
    <t>CE; ISO 9001; MCERTS (indicativo)</t>
  </si>
  <si>
    <t>H₂S; NH₃; VOC; SO₂; CH₄; PM2.5; Meteo</t>
  </si>
  <si>
    <t>1</t>
  </si>
  <si>
    <t>0–50 ppm (H₂S)</t>
  </si>
  <si>
    <t>30</t>
  </si>
  <si>
    <t>6</t>
  </si>
  <si>
    <t>±10%</t>
  </si>
  <si>
    <t>-40</t>
  </si>
  <si>
    <t>Cloud + On-premise</t>
  </si>
  <si>
    <t>4</t>
  </si>
  <si>
    <t>Sentinella Continua | Perimetrale</t>
  </si>
  <si>
    <t>H₂S; NH₃; VOC; SO₂; CH₄</t>
  </si>
  <si>
    <t>Ottimo per monitoraggio perimetrale e rete fenceline. ATEX opzionale su richiesta — verificare con fornitore. Dati non audit-ready ARPA da soli: usare in combinazione con sistema quantificatore.</t>
  </si>
  <si>
    <t>S-003</t>
  </si>
  <si>
    <t>Sensore Elettrochimico</t>
  </si>
  <si>
    <t>Moduli gas intercambiabili</t>
  </si>
  <si>
    <t>Aeroqual — Series 500</t>
  </si>
  <si>
    <t>https://www.aeroqual.com</t>
  </si>
  <si>
    <t>IP54</t>
  </si>
  <si>
    <t>ISO 9001; NIST Traceable</t>
  </si>
  <si>
    <t>H₂S; VOC; O₃; NO₂; NH₃ (moduli intercambiabili)</t>
  </si>
  <si>
    <t>0–50 ppm</t>
  </si>
  <si>
    <t>60</t>
  </si>
  <si>
    <t>±5%</t>
  </si>
  <si>
    <t>Perimetrale</t>
  </si>
  <si>
    <t>H₂S; VOC; O₃; NO₂; NH₃</t>
  </si>
  <si>
    <t>⚠️ NON ATEX — non installabile in aree classificate Eni. Portatile o fisso. Richiede moduli intercambiabili per ogni gas. Utile per monitoraggio perimetrale in zone sicure o campagne temporanee.</t>
  </si>
  <si>
    <t>S-004</t>
  </si>
  <si>
    <t>Stazione Meteo</t>
  </si>
  <si>
    <t>All-in-one ultrasonica</t>
  </si>
  <si>
    <t>Vaisala — WXT530</t>
  </si>
  <si>
    <t>https://www.vaisala.com/en</t>
  </si>
  <si>
    <t>WMO; Marine Grade; CE</t>
  </si>
  <si>
    <t>Vento (velocità/direzione); Temperatura; Umidità; Pressione; Precipitazioni</t>
  </si>
  <si>
    <t>Vento 0–60 m/s</t>
  </si>
  <si>
    <t>24</t>
  </si>
  <si>
    <t>±3% (vento)</t>
  </si>
  <si>
    <t>-52</t>
  </si>
  <si>
    <t>On-premise + Cloud</t>
  </si>
  <si>
    <t>5</t>
  </si>
  <si>
    <t>Meteo / Dispersione</t>
  </si>
  <si>
    <t>Vento; Temperatura; Umidità; Pressione</t>
  </si>
  <si>
    <t>Essenziale per modelli di dispersione richiesti da SNPA 268/2025 e D.D. MASE 309/2023. Input obbligatorio per AERMOD/CALPUFF. Nessun requisito ATEX (non in zona classificata).</t>
  </si>
  <si>
    <t>S-005</t>
  </si>
  <si>
    <t>Software / Piattaforma</t>
  </si>
  <si>
    <t>Gestione impatto odorigeno + modellistica</t>
  </si>
  <si>
    <t>Envirosuite — EPM Platform</t>
  </si>
  <si>
    <t>https://envirosuite.com</t>
  </si>
  <si>
    <t>C</t>
  </si>
  <si>
    <t>Conformità SNPA/ISPRA; ISO 27001</t>
  </si>
  <si>
    <t>Modellistica dispersione; Gestione segnalazioni; Analisi predittiva</t>
  </si>
  <si>
    <t>Continuo (cloud)</t>
  </si>
  <si>
    <t>Cloud</t>
  </si>
  <si>
    <t>N/A</t>
  </si>
  <si>
    <t>Quantificatore Legale</t>
  </si>
  <si>
    <t>Modellistica dispersione; Segnalazioni popolazione</t>
  </si>
  <si>
    <t>Software leader per gestione lamentele e impatto odorigeno. Integra dati da sensori eterogenei via API. Output conformi SNPA — dati utilizzabili in report ARPA. CAPEX = licenza annuale stimata.</t>
  </si>
  <si>
    <t>S-006</t>
  </si>
  <si>
    <t>Gateway / Trasmissione</t>
  </si>
  <si>
    <t>Gateway industriale LoRaWAN</t>
  </si>
  <si>
    <t>Multitech — Conduit IP67</t>
  </si>
  <si>
    <t>https://multitech.com</t>
  </si>
  <si>
    <t>IP67</t>
  </si>
  <si>
    <t>Industrial Grade; CE; FCC</t>
  </si>
  <si>
    <t>Ponte radio LoRaWAN → 4G/Ethernet (non sensore gas)</t>
  </si>
  <si>
    <t>Raggio &gt;5 km (LoS)</t>
  </si>
  <si>
    <t>Infrastruttura</t>
  </si>
  <si>
    <t>Necessario se l'area impianto ha scarsa copertura WiFi/4G. Abilita rete LoRaWAN per sensori distribuiti. OPEX nullo (hardware). Nessun requisito ATEX (installato in zona sicura).</t>
  </si>
  <si>
    <t>S-007</t>
  </si>
  <si>
    <t>Innovativo / Startup</t>
  </si>
  <si>
    <t>Chip nanotubi carbonio (CNT)</t>
  </si>
  <si>
    <t>Smart Nanotubes — smell.iX16 + smell.Board</t>
  </si>
  <si>
    <t>https://www.smart-nanotubes.com</t>
  </si>
  <si>
    <t>CE (in sviluppo); EU-funded</t>
  </si>
  <si>
    <t>VOC generici; Pattern odorigeni (AI-based); 16 canali selettivi</t>
  </si>
  <si>
    <t>&lt;0.1</t>
  </si>
  <si>
    <t>ppb–ppm (dipende dal gas)</t>
  </si>
  <si>
    <t>1.8</t>
  </si>
  <si>
    <t>±15% (stimata)</t>
  </si>
  <si>
    <t>On-premise (UART/I2C)</t>
  </si>
  <si>
    <t>Innovativo / R&amp;D</t>
  </si>
  <si>
    <t>VOC; Pattern odorigeni complessi</t>
  </si>
  <si>
    <t>🟣 TECNOLOGIA INNOVATIVA — non ancora audit-ready. Chip a nanotubi di carbonio con AI integrata. 16 canali altamente selettivi. Potenziale futuro per discriminazione sorgente. Attualmente in fase di commercializzazione. Nessun ATEX. Ideale per R&amp;D e proof-of-concept.</t>
  </si>
  <si>
    <t>S-008</t>
  </si>
  <si>
    <t>Naso elettronico apprendibile (ZnO nanowires)</t>
  </si>
  <si>
    <t>SmellDect GmbH — eNase</t>
  </si>
  <si>
    <t>https://smelldect.de</t>
  </si>
  <si>
    <t>CE (in sviluppo)</t>
  </si>
  <si>
    <t>Odori generici apprendibili; Rilevazione presenza/assenza; Classificazione</t>
  </si>
  <si>
    <t>ppb–ppm</t>
  </si>
  <si>
    <t>±20% (stimata)</t>
  </si>
  <si>
    <t>-10</t>
  </si>
  <si>
    <t>Odori generici; Pattern personalizzabili</t>
  </si>
  <si>
    <t>🟣 TECNOLOGIA INNOVATIVA — naso elettronico a nanofili ZnO apprendibile dall'utente. Basso costo. Nessun ATEX. Software proprietario chiuso ⚠️. Adatto per screening qualitativo e R&amp;D. Non adatto per dati legali ARPA.</t>
  </si>
  <si>
    <t>S-009</t>
  </si>
  <si>
    <t>Sensore MOX / PM</t>
  </si>
  <si>
    <t>Nodo ambientale multi-parametro</t>
  </si>
  <si>
    <t>Sensirion — SEN54</t>
  </si>
  <si>
    <t>https://sensirion.com/products/catalog/SEN54</t>
  </si>
  <si>
    <t>RoHS; REACH; CE</t>
  </si>
  <si>
    <t>VOC (indice 0-500); PM1.0/PM2.5/PM4/PM10; Temperatura; Umidità</t>
  </si>
  <si>
    <t>0.05</t>
  </si>
  <si>
    <t>0–1000 ppm (VOC eq. etanolo)</t>
  </si>
  <si>
    <t>10</t>
  </si>
  <si>
    <t>±10% (VOC index)</t>
  </si>
  <si>
    <t>On-premise (I²C)</t>
  </si>
  <si>
    <t>VOC generici; PM; Temperatura; Umidità</t>
  </si>
  <si>
    <t>Sensore low-cost per integrazione in nodi IoT custom. Nessun ATEX. Nessuna connettività industriale nativa (solo I²C). Utile per reti dense di monitoraggio qualitativo o stazioni Eni Cafè (outreach). Non adatto per dati legali.</t>
  </si>
  <si>
    <t>S-010</t>
  </si>
  <si>
    <t>Multi-gas ATEX (portatile/fisso)</t>
  </si>
  <si>
    <t>Dräger — X-am 5600</t>
  </si>
  <si>
    <t>https://www.draeger.com</t>
  </si>
  <si>
    <t>Zona 1/2</t>
  </si>
  <si>
    <t>ATEX II 2G; IECEx; CE; EN 60079</t>
  </si>
  <si>
    <t>H₂S; CO; O₂; VOC (PID opz.); NH₃; SO₂; CH₄ (LEL)</t>
  </si>
  <si>
    <t>0.1</t>
  </si>
  <si>
    <t>0–100 ppm (H₂S)</t>
  </si>
  <si>
    <t>15</t>
  </si>
  <si>
    <t>On-premise + Cloud (Dräger Connect)</t>
  </si>
  <si>
    <t>Sorgente Puntuale | Sentinella Continua</t>
  </si>
  <si>
    <t>H₂S; CO; NH₃; SO₂; VOC; CH₄</t>
  </si>
  <si>
    <t>Strumento ATEX Zona 1/2 — installabile in aree classificate Eni. Ottimo per monitoraggio sorgente puntuale (es. stoccaggio, WWTP). Versione fissa disponibile. Dräger Connect per integrazione dati.</t>
  </si>
  <si>
    <t>S-011</t>
  </si>
  <si>
    <t>IOMS quantitativo certificato (UNI 11761 tipo C)</t>
  </si>
  <si>
    <t>Scentroid — SM100i</t>
  </si>
  <si>
    <t>https://scentroid.com</t>
  </si>
  <si>
    <t>IP65</t>
  </si>
  <si>
    <t>CE; ISO 9001; UNI 11761:2023 (tipo C)</t>
  </si>
  <si>
    <t>Odore (ouE/m³); H₂S; NH₃; VOC; SO₂</t>
  </si>
  <si>
    <t>1–10000 ouE/m³</t>
  </si>
  <si>
    <t>±15%</t>
  </si>
  <si>
    <t>Quantificatore Legale | Perimetrale</t>
  </si>
  <si>
    <t>H₂S; NH₃; VOC; SO₂; Odore (ouE/m³)</t>
  </si>
  <si>
    <t>✅ IOMS tipo C (UNI 11761:2023) — misura quantitativa ouE/m³ correlabile con olfattometria dinamica. Dati potenzialmente validi per report ARPA se correttamente addestrato. Richiede training site-specific. ATEX opzionale.</t>
  </si>
  <si>
    <t>S-012</t>
  </si>
  <si>
    <t>GC Portatile / In continuo</t>
  </si>
  <si>
    <t>Gascromatografo in continuo ATEX</t>
  </si>
  <si>
    <t>Chromatotec — airmoVOC C6</t>
  </si>
  <si>
    <t>https://www.chromatotec.com</t>
  </si>
  <si>
    <t>ATEX II 2G; CE; ISO 9001; EN 14662</t>
  </si>
  <si>
    <t>BTEX (Benzene; Toluene; Etilbenzene; Xileni); VOC C2-C12; Mercaptani; H₂S</t>
  </si>
  <si>
    <t>0.01</t>
  </si>
  <si>
    <t>0.01–1000 ppb</t>
  </si>
  <si>
    <t>300</t>
  </si>
  <si>
    <t>Continuo (ciclo 15 min)</t>
  </si>
  <si>
    <t>Quantificatore Legale | Sorgente Puntuale</t>
  </si>
  <si>
    <t>BTEX; Mercaptani; H₂S; VOC C2-C12</t>
  </si>
  <si>
    <t>✅ GOLD STANDARD per raffineria. GC in continuo ATEX — dati chimici quantitativi legalmente validi. LOD sub-ppb per BTEX e mercaptani. Ciclo di analisi 15 min. Alto CAPEX ma insostituibile per conformità AIA su emissioni convogliate.</t>
  </si>
  <si>
    <t>S-013</t>
  </si>
  <si>
    <t>Sensore Ottico / PM</t>
  </si>
  <si>
    <t>Contatore particelle ottico</t>
  </si>
  <si>
    <t>Alphasense — OPC-N3</t>
  </si>
  <si>
    <t>https://www.alphasense.com</t>
  </si>
  <si>
    <t>IP40</t>
  </si>
  <si>
    <t>CE; RoHS</t>
  </si>
  <si>
    <t>PM1; PM2.5; PM10; Conteggio particelle (16 bin)</t>
  </si>
  <si>
    <t>0–1000 µg/m³</t>
  </si>
  <si>
    <t>On-premise (SPI)</t>
  </si>
  <si>
    <t>PM1; PM2.5; PM10</t>
  </si>
  <si>
    <t>Sensore PM low-cost per integrazione in nodi custom. Nessun ATEX. Utile come proxy per emissioni particolate. Non misura gas odorigeni direttamente. Complementare a sensori gas.</t>
  </si>
  <si>
    <t>S-014</t>
  </si>
  <si>
    <t>Software IOMS + modellistica dispersione</t>
  </si>
  <si>
    <t>Odotech — OdoWatch</t>
  </si>
  <si>
    <t>https://www.odotech.com</t>
  </si>
  <si>
    <t>Conformità SNPA; ISO 9001</t>
  </si>
  <si>
    <t>Odore (ouE/m³); Modellistica dispersione; Gestione segnalazioni</t>
  </si>
  <si>
    <t>Odore (ouE/m³); Modellistica</t>
  </si>
  <si>
    <t>Software specializzato per gestione IOMS e modellistica dispersione odorigena. Integra dati da nasi elettronici e stazioni meteo. Output conformi per report ARPA. Alternativa più economica a Envirosuite.</t>
  </si>
  <si>
    <t>S-015</t>
  </si>
  <si>
    <t>Sensore Laser (TDLAS)</t>
  </si>
  <si>
    <t>Spettroscopia laser a diodo sintonizzabile</t>
  </si>
  <si>
    <t>Focused Photonics — GasFinder3 H₂S</t>
  </si>
  <si>
    <t>https://www.fpi-inc.com</t>
  </si>
  <si>
    <t>ATEX II 2G; CE; IECEx; SIL2</t>
  </si>
  <si>
    <t>H₂S (selettivo); SO₂ (opz.)</t>
  </si>
  <si>
    <t>0–200 ppm·m (path integrato)</t>
  </si>
  <si>
    <t>H₂S; SO₂</t>
  </si>
  <si>
    <t>Tecnologia TDLAS (Tunable Diode Laser Absorption Spectroscopy). Altissima selettività per H₂S — zero interferenze cross-gas. ATEX Zona 1/2. Misura in open-path (path integrato). Ideale per stoccaggio greggio e WWTP. Alto CAPEX ma OPEX bassissimo (no consumabili).</t>
  </si>
  <si>
    <t>S-016</t>
  </si>
  <si>
    <t>Sensore IoT H₂S low-cost LoRaWAN</t>
  </si>
  <si>
    <t>Dingtek — DT-H2S-N01</t>
  </si>
  <si>
    <t>https://www.dingtek.com</t>
  </si>
  <si>
    <t>CE; RoHS; LoRaWAN Alliance</t>
  </si>
  <si>
    <t>H₂S</t>
  </si>
  <si>
    <t>0–100 ppm</t>
  </si>
  <si>
    <t>Cloud (LoRaWAN)</t>
  </si>
  <si>
    <t>⚠️ NON ATEX — solo per zone sicure. Sensore IoT H₂S ultra low-cost con LoRaWAN nativo. Ideale per reti dense di monitoraggio perimetrale qualitativo. Batteria a lunga durata. Non adatto per dati legali o aree classificate.</t>
  </si>
  <si>
    <t>S-017</t>
  </si>
  <si>
    <t>Analizzatore On-line</t>
  </si>
  <si>
    <t>Analizzatore NH₃ in fase liquida (WWTP)</t>
  </si>
  <si>
    <t>Hach — Amtax sc</t>
  </si>
  <si>
    <t>https://it.hach.com</t>
  </si>
  <si>
    <t>CE; ISO 15923</t>
  </si>
  <si>
    <t>NH₃ (in acqua/reflui); TKN</t>
  </si>
  <si>
    <t>0.01–100 mg/L NH₃-N</t>
  </si>
  <si>
    <t>Batch (ciclo 15 min)</t>
  </si>
  <si>
    <t>+5</t>
  </si>
  <si>
    <t>Sorgente Puntuale</t>
  </si>
  <si>
    <t>NH₃ (fase liquida)</t>
  </si>
  <si>
    <t>Analizzatore per NH₃ in fase liquida — specifico per WWTP (trattamento acque reflue). Non misura emissioni gassose direttamente ma monitora il processo a monte. Complementare a sensori gas per NH₃ in aria. Nessun requisito ATEX (zona sicura WWTP).</t>
  </si>
  <si>
    <t>S-018</t>
  </si>
  <si>
    <t>Sistema Abbattimento</t>
  </si>
  <si>
    <t>Scrubber chimico + monitoraggio integrato</t>
  </si>
  <si>
    <t>Condorchem Envitech — Scrubber H₂S/NH₃</t>
  </si>
  <si>
    <t>https://condorchem.com/it/</t>
  </si>
  <si>
    <t>CE; ISO 9001</t>
  </si>
  <si>
    <t>H₂S; NH₃; SO₂ (efficienza abbattimento)</t>
  </si>
  <si>
    <t>Efficienza &gt;99%</t>
  </si>
  <si>
    <t>Continuo (processo)</t>
  </si>
  <si>
    <t>H₂S; NH₃; SO₂</t>
  </si>
  <si>
    <t>Sistema di abbattimento (non solo sensore). Scrubber chimico per H₂S e NH₃ con monitoraggio integrato dell'efficienza. Complementare al sistema di monitoraggio — riduce le emissioni alla sorgente. CAPEX = stima impianto medio.</t>
  </si>
  <si>
    <t>S-019</t>
  </si>
  <si>
    <t>Integrazione / Custom</t>
  </si>
  <si>
    <t>Integrazione sistemi e soluzioni custom</t>
  </si>
  <si>
    <t>HA Group — Custom Integration</t>
  </si>
  <si>
    <t>https://www.ha-group.com/it/</t>
  </si>
  <si>
    <t>Dipende dal progetto</t>
  </si>
  <si>
    <t>Dipende dalla configurazione (multi-gas, meteo, IOMS)</t>
  </si>
  <si>
    <t>Dipende</t>
  </si>
  <si>
    <t>Multi-parametro (dipende da configurazione)</t>
  </si>
  <si>
    <t>Integratore di sistemi — non un sensore singolo. Progetta e installa reti di monitoraggio custom. Può integrare sensori eterogenei in un'unica piattaforma. Utile per il sistema ibrido Eni. CAPEX = stima progetto medio.</t>
  </si>
  <si>
    <t>S-020</t>
  </si>
  <si>
    <t>— DA COMPILARE —</t>
  </si>
  <si>
    <t>— NUOVO SENSORE —</t>
  </si>
  <si>
    <t>https://</t>
  </si>
  <si>
    <t>—</t>
  </si>
  <si>
    <t>Riga template — compilare tutti i campi per aggiungere un nuovo sensore alla matrice MCDA.</t>
  </si>
  <si>
    <t>⚙️  PESI &amp; CONFIGURAZIONE — Motore MCDA  |  Eni C-Lab</t>
  </si>
  <si>
    <t>Le celle gialle sono modificabili. I punteggi MCDA nel foglio MATRICE MCDA sono calcolati con i pesi qui definiti.</t>
  </si>
  <si>
    <t>1.  PESI MCDA  (devono sommare a 1.00)</t>
  </si>
  <si>
    <t>Criterio</t>
  </si>
  <si>
    <t>Peso (%)</t>
  </si>
  <si>
    <t>Peso (decimale)</t>
  </si>
  <si>
    <t>Descrizione</t>
  </si>
  <si>
    <t>Compliance &amp; Safety</t>
  </si>
  <si>
    <t>40%</t>
  </si>
  <si>
    <t>ATEX, UNI EN 13725, SNPA 268/2025, IP, certificazioni</t>
  </si>
  <si>
    <t>Performance Tecnica</t>
  </si>
  <si>
    <t>25%</t>
  </si>
  <si>
    <t>LOD, range, tempo risposta, accuratezza, modalità operativa</t>
  </si>
  <si>
    <t>Interoperabilità</t>
  </si>
  <si>
    <t>20%</t>
  </si>
  <si>
    <t>MQTT, Modbus, API REST, LoRaWAN, facilità integrazione</t>
  </si>
  <si>
    <t>Sostenibilità Economica</t>
  </si>
  <si>
    <t>15%</t>
  </si>
  <si>
    <t>CAPEX, OPEX, TCO 5 anni, vita utile</t>
  </si>
  <si>
    <t>TOTALE</t>
  </si>
  <si>
    <t>100%</t>
  </si>
  <si>
    <t>✅ Verificare che sia sempre 1.00 prima di usare la matrice</t>
  </si>
  <si>
    <t>2.  TABELLE DI CONVERSIONE PUNTEGGI  (0–10)</t>
  </si>
  <si>
    <t>2A — COMPLIANCE &amp; SAFETY</t>
  </si>
  <si>
    <t>Parametro</t>
  </si>
  <si>
    <t>Valore</t>
  </si>
  <si>
    <t>Punti</t>
  </si>
  <si>
    <t>Note</t>
  </si>
  <si>
    <t>ATEX</t>
  </si>
  <si>
    <t>Sì (Zona 0/1/2)</t>
  </si>
  <si>
    <t>4.0</t>
  </si>
  <si>
    <t>Massimo — aree Eni classificate</t>
  </si>
  <si>
    <t>2.0</t>
  </si>
  <si>
    <t>Verificare con fornitore</t>
  </si>
  <si>
    <t>0.0</t>
  </si>
  <si>
    <t>⚠️ FLAG ROSSO — non installabile in zone classificate</t>
  </si>
  <si>
    <t>NA (software/meteo)</t>
  </si>
  <si>
    <t>Non applicabile</t>
  </si>
  <si>
    <t>UNI EN 13725</t>
  </si>
  <si>
    <t>Dati olfattometrici legalmente validi</t>
  </si>
  <si>
    <t>1.0</t>
  </si>
  <si>
    <t>Dati parzialmente validi</t>
  </si>
  <si>
    <t>No / NA</t>
  </si>
  <si>
    <t>Dati non validi per ARPA</t>
  </si>
  <si>
    <t>SNPA 268/2025</t>
  </si>
  <si>
    <t>Conformità piena</t>
  </si>
  <si>
    <t>Conformità parziale</t>
  </si>
  <si>
    <t>Non conforme</t>
  </si>
  <si>
    <t>Tipo IOMS (UNI 11761)</t>
  </si>
  <si>
    <t>C — quantità ouE/m³</t>
  </si>
  <si>
    <t>Massimo valore legale</t>
  </si>
  <si>
    <t>B — classe odore</t>
  </si>
  <si>
    <t>Qualitativo</t>
  </si>
  <si>
    <t>A — presenza/assenza</t>
  </si>
  <si>
    <t>0.5</t>
  </si>
  <si>
    <t>Solo trigger</t>
  </si>
  <si>
    <t>2B — PERFORMANCE TECNICA</t>
  </si>
  <si>
    <t>Valore / Range</t>
  </si>
  <si>
    <t>LOD (ppb)</t>
  </si>
  <si>
    <t>&lt; 0.01</t>
  </si>
  <si>
    <t>3.0</t>
  </si>
  <si>
    <t>Eccellente — GC, TDLAS</t>
  </si>
  <si>
    <t>0.01–1</t>
  </si>
  <si>
    <t>2.5</t>
  </si>
  <si>
    <t>Ottimo — PID, IOMS avanzati</t>
  </si>
  <si>
    <t>1–10</t>
  </si>
  <si>
    <t>Buono — elettrochimici</t>
  </si>
  <si>
    <t>10–100</t>
  </si>
  <si>
    <t>Sufficiente</t>
  </si>
  <si>
    <t>&gt; 100 / NA</t>
  </si>
  <si>
    <t>Limitato</t>
  </si>
  <si>
    <t>Tempo risposta (s)</t>
  </si>
  <si>
    <t>&lt; 5</t>
  </si>
  <si>
    <t>Real-time</t>
  </si>
  <si>
    <t>5–60</t>
  </si>
  <si>
    <t>1.5</t>
  </si>
  <si>
    <t>Quasi real-time</t>
  </si>
  <si>
    <t>60–900</t>
  </si>
  <si>
    <t>Accettabile</t>
  </si>
  <si>
    <t>&gt; 900 / NA</t>
  </si>
  <si>
    <t>Batch</t>
  </si>
  <si>
    <t>Modalità operativa</t>
  </si>
  <si>
    <t>Monitoraggio 24/7</t>
  </si>
  <si>
    <t>Batch ciclo &lt;30 min</t>
  </si>
  <si>
    <t>Quasi-continuo</t>
  </si>
  <si>
    <t>Campionamento</t>
  </si>
  <si>
    <t>Non continuo</t>
  </si>
  <si>
    <t>Accuratezza (%)</t>
  </si>
  <si>
    <t>&lt; ±3%</t>
  </si>
  <si>
    <t>Eccellente</t>
  </si>
  <si>
    <t>±3–10%</t>
  </si>
  <si>
    <t>Buona</t>
  </si>
  <si>
    <t>±10–20%</t>
  </si>
  <si>
    <t>&gt; ±20% / NA</t>
  </si>
  <si>
    <t>Indicativa</t>
  </si>
  <si>
    <t>2C — INTEROPERABILITÀ</t>
  </si>
  <si>
    <t>Ogni protocollo supportato</t>
  </si>
  <si>
    <t>Sì (MQTT/Modbus/API/LoRa/4G/RS485/4-20mA)</t>
  </si>
  <si>
    <t>+1.0 cad.</t>
  </si>
  <si>
    <t>Max 7 punti totali dai protocolli</t>
  </si>
  <si>
    <t>Software proprietario chiuso</t>
  </si>
  <si>
    <t>Sì + nessuna API REST</t>
  </si>
  <si>
    <t>-2.0</t>
  </si>
  <si>
    <t>⚠️ FLAG ARANCIONE — costo integrazione elevato</t>
  </si>
  <si>
    <t>Facilità integrazione (1–5)</t>
  </si>
  <si>
    <t>5 = molto facile</t>
  </si>
  <si>
    <t>+3.0</t>
  </si>
  <si>
    <t>Proporzionale: (valore/5)×3</t>
  </si>
  <si>
    <t>1 = molto difficile</t>
  </si>
  <si>
    <t>+0.6</t>
  </si>
  <si>
    <t>Minimo</t>
  </si>
  <si>
    <t>2D — SOSTENIBILITÀ ECONOMICA</t>
  </si>
  <si>
    <t>Formula</t>
  </si>
  <si>
    <t>TCO 5 anni</t>
  </si>
  <si>
    <t>CAPEX + 5 × OPEX annuo</t>
  </si>
  <si>
    <t>Calcolato automaticamente nella colonna TCO</t>
  </si>
  <si>
    <t>Punteggio economico</t>
  </si>
  <si>
    <t>max(0, 10 − TCO/200.000 × 10)</t>
  </si>
  <si>
    <t>0–10</t>
  </si>
  <si>
    <t>TCO=0 → 10 punti; TCO≥200k€ → 0 punti</t>
  </si>
  <si>
    <t>Nota importante</t>
  </si>
  <si>
    <t>Normalizzazione su range €0–200.000</t>
  </si>
  <si>
    <t>Se si aggiungono sistemi &gt;200k€, aggiornare la soglia nella funzione score_economico</t>
  </si>
  <si>
    <t>3.  RIFERIMENTI NORMATIVI CHIAVE</t>
  </si>
  <si>
    <t>Norma / Decreto</t>
  </si>
  <si>
    <t>Ambito</t>
  </si>
  <si>
    <t>Rilevanza per la matrice</t>
  </si>
  <si>
    <t>SNPA Delibera 268/2025</t>
  </si>
  <si>
    <t>Metodologie monitoraggio odori — Italia</t>
  </si>
  <si>
    <t>Conformità obbligatoria per dati validi ARPA. Adottata il 23/01/2025.</t>
  </si>
  <si>
    <t>D.D. MASE n.309 del 28/06/2023</t>
  </si>
  <si>
    <t>Indirizzi art.272-bis D.Lgs.152/06</t>
  </si>
  <si>
    <t>Riferimento per procedure autorizzative AIA/AUA. Allegato A.5 su IOMS.</t>
  </si>
  <si>
    <t>UNI EN 13725:2022</t>
  </si>
  <si>
    <t>Olfattometria dinamica — ouE/m³</t>
  </si>
  <si>
    <t>Standard di riferimento per quantificazione legale. Richiede panel addestrato.</t>
  </si>
  <si>
    <t>UNI 11761:2023</t>
  </si>
  <si>
    <t>IOMS — Sistemi automatici misura odore</t>
  </si>
  <si>
    <t>Classificazione IOMS tipo A/B/C. Tipo C = quantitativo correlabile con UNI EN 13725.</t>
  </si>
  <si>
    <t>ATEX Direttiva 2014/34/UE</t>
  </si>
  <si>
    <t>Apparecchi in atmosfere esplosive</t>
  </si>
  <si>
    <t>Requisito obbligatorio per aree classificate Eni. Zona 0 = gas sempre presente.</t>
  </si>
  <si>
    <t>D.Lgs. 152/2006 art.272-bis</t>
  </si>
  <si>
    <t>Emissioni odorigene — quadro nazionale</t>
  </si>
  <si>
    <t>Base legale per autorizzazioni e controlli. Introdotto da D.Lgs. 183/2017.</t>
  </si>
  <si>
    <t>UNI EN 15259</t>
  </si>
  <si>
    <t>Misura emissioni da sorgenti stazionarie</t>
  </si>
  <si>
    <t>Pianificazione campionamenti e punti di prelievo.</t>
  </si>
  <si>
    <t>UNI EN 16841</t>
  </si>
  <si>
    <t>Field inspection — griglia e pennacchio</t>
  </si>
  <si>
    <t>Monitoraggio percezione odore sul territorio. Richiede panel esaminatori.</t>
  </si>
  <si>
    <t>🔧  ARCHITETTURA SISTEMA IBRIDO — Raffineria Eni  |  C-Lab 2025</t>
  </si>
  <si>
    <t>La classifica MCDA non identifica UN solo sensore migliore — serve un sistema ibrido. Questo foglio mostra come combinare le tecnologie per diversi scenari operativi.</t>
  </si>
  <si>
    <t>3A.  SCENARI DI DEPLOYMENT — Raffineria Eni</t>
  </si>
  <si>
    <t>Scenario</t>
  </si>
  <si>
    <t>Tecnologie Raccomandate
(da MCDA)</t>
  </si>
  <si>
    <t>Molecole Target</t>
  </si>
  <si>
    <t>Copertura Normativa</t>
  </si>
  <si>
    <t>Requisito ATEX</t>
  </si>
  <si>
    <t>Note Strategiche</t>
  </si>
  <si>
    <t>S1 — Monitoraggio
Perimetrale Continuo</t>
  </si>
  <si>
    <t>Rete fenceline 24/7 con trigger automatico di allerta. Monitoraggio qualitativo in continuo lungo il perimetro dell'impianto.</t>
  </si>
  <si>
    <t>• Ion Science Falco (PID ATEX)
• Oizom Odosense Pro (IOMS)
• Vaisala WXT530 (Meteo)
• Dingtek DT-H2S (H₂S low-cost)</t>
  </si>
  <si>
    <t>H₂S; VOC totali; Benzene; NH₃; Meteo</t>
  </si>
  <si>
    <t>⚠️ QUALITATIVO — non audit-ready da solo. Trigger per attivare S2.</t>
  </si>
  <si>
    <t>Sì (Falco ATEX)
No (Oizom — solo zone sicure)</t>
  </si>
  <si>
    <t>Backbone del sistema. Attiva automaticamente campionamento legale (S2) al superamento soglia. Integra dati meteo per modelli dispersione.</t>
  </si>
  <si>
    <t>S2 — Risposta a Evento
(Trigger-based)</t>
  </si>
  <si>
    <t>Attivato da S1 al superamento di soglia. Campionamento quantitativo legalmente valido per report ARPA/AIA.</t>
  </si>
  <si>
    <t>• Chromatotec airmoVOC (GC ATEX)
• Scentroid SM100i (IOMS tipo C)
• Odotech OdoWatch (Software)
• Envirosuite (Modellistica)</t>
  </si>
  <si>
    <t>BTEX; Mercaptani; H₂S; NH₃; ouE/m³</t>
  </si>
  <si>
    <t>✅ AUDIT-READY — dati validi per ARPA, AIA, report autorizzativi.</t>
  </si>
  <si>
    <t>Sì (Chromatotec ATEX)
Opzionale (Scentroid)</t>
  </si>
  <si>
    <t>Attivato solo su evento → riduce costi operativi. Output: report ouE/m³ correlato con UNI EN 13725. Dati utilizzabili in procedura SNPA 268/2025.</t>
  </si>
  <si>
    <t>S3 — Monitoraggio
Sorgente On-Process</t>
  </si>
  <si>
    <t>Monitoraggio continuo su punti critici di processo: stoccaggio, distillazione, WWTP, torce. Conformità AIA.</t>
  </si>
  <si>
    <t>• Ion Science Falco (VOC ATEX)
• Focused Photonics TDLAS (H₂S ATEX)
• Dräger X-am 5600 (multi-gas ATEX)
• Hach Amtax (NH₃ WWTP)</t>
  </si>
  <si>
    <t>H₂S; VOC; Benzene; NH₃; SO₂</t>
  </si>
  <si>
    <t>✅ CONFORMITÀ AIA — monitoraggio emissioni convogliate e diffuse.</t>
  </si>
  <si>
    <t>Sì — obbligatorio
(tutte le tecnologie ATEX)</t>
  </si>
  <si>
    <t>Installazione fissa in zone classificate. Dati in continuo per gestione processo. Integra con sistema SCADA esistente via Modbus/RS485.</t>
  </si>
  <si>
    <t>S4 — Comunicazione
Pubblica (Eni Cafè)</t>
  </si>
  <si>
    <t>Stazioni meteo e sensori low-cost nelle stazioni di carburante limitrofe. Outreach e trasparenza verso la comunità.</t>
  </si>
  <si>
    <t>• Vaisala WXT530 (Meteo)
• Sensirion SEN54 (VOC/PM low-cost)
• Oizom Odosense (IOMS)
• Envirosuite (Dashboard pubblica)</t>
  </si>
  <si>
    <t>VOC generici; PM2.5; Meteo</t>
  </si>
  <si>
    <t>⚠️ OUTREACH — non legale. Valore comunicativo e di fiducia pubblica.</t>
  </si>
  <si>
    <t>No — zone sicure
(stazioni carburante)</t>
  </si>
  <si>
    <t>Design 'green' e appealing. Dashboard pubblica su sito Eni. Raccoglie dati meteo utili per modelli dispersione. Mostra impegno Eni su sostenibilità.</t>
  </si>
  <si>
    <t>3B.  MATRICE DI COMPLEMENTARIETÀ — Come si integrano le tecnologie</t>
  </si>
  <si>
    <t>Tecnologia A</t>
  </si>
  <si>
    <t>Tecnologia B</t>
  </si>
  <si>
    <t>Tipo Integrazione</t>
  </si>
  <si>
    <t>Risultato Combinato</t>
  </si>
  <si>
    <t>Priorità</t>
  </si>
  <si>
    <t>IOMS qualitativo
(Oizom Odosense)</t>
  </si>
  <si>
    <t>GC in continuo
(Chromatotec airmoVOC)</t>
  </si>
  <si>
    <t>Trigger → Quantificazione</t>
  </si>
  <si>
    <t>Sentinella continua attiva GC su evento → dati legali ARPA</t>
  </si>
  <si>
    <t>✅ Audit-Ready</t>
  </si>
  <si>
    <t>S1 + S2</t>
  </si>
  <si>
    <t>⭐⭐⭐ ALTA</t>
  </si>
  <si>
    <t>PID ATEX
(Ion Science Falco)</t>
  </si>
  <si>
    <t>Stazione Meteo
(Vaisala WXT530)</t>
  </si>
  <si>
    <t>Sensore + Meteo</t>
  </si>
  <si>
    <t>Dati VOC + vento/T → input modello dispersione AERMOD/CALPUFF</t>
  </si>
  <si>
    <t>✅ Conformità AIA</t>
  </si>
  <si>
    <t>S1 + S3</t>
  </si>
  <si>
    <t>TDLAS H₂S
(Focused Photonics)</t>
  </si>
  <si>
    <t>IOMS tipo C
(Scentroid SM100i)</t>
  </si>
  <si>
    <t>Specifico + Olfattometrico</t>
  </si>
  <si>
    <t>H₂S quantitativo + ouE/m³ → profilo odorigeno completo</t>
  </si>
  <si>
    <t>S2 + S3</t>
  </si>
  <si>
    <t>Sensori perimetrali
(rete distribuita)</t>
  </si>
  <si>
    <t>Software piattaforma
(Envirosuite/OdoWatch)</t>
  </si>
  <si>
    <t>Hardware + Software</t>
  </si>
  <si>
    <t>Dati multi-sensore → dashboard unica + modellistica + report ARPA</t>
  </si>
  <si>
    <t>✅ Conformità SNPA 268/2025</t>
  </si>
  <si>
    <t>IOMS qualitativo
(Oizom/Sensirion)</t>
  </si>
  <si>
    <t>Naso elettronico R&amp;D
(Smart Nanotubes)</t>
  </si>
  <si>
    <t>Operativo + Innovativo</t>
  </si>
  <si>
    <t>Monitoraggio corrente + sviluppo algoritmi AI per discriminazione sorgente</t>
  </si>
  <si>
    <t>⚠️ R&amp;D — non legale</t>
  </si>
  <si>
    <t>S4 + R&amp;D</t>
  </si>
  <si>
    <t>⭐⭐ MEDIA</t>
  </si>
  <si>
    <t>Dräger X-am 5600
(multi-gas ATEX)</t>
  </si>
  <si>
    <t>Hach Amtax
(NH₃ WWTP)</t>
  </si>
  <si>
    <t>Aria + Liquido</t>
  </si>
  <si>
    <t>Monitoraggio NH₃ in processo (liquido) + in aria → controllo completo WWTP</t>
  </si>
  <si>
    <t>S3</t>
  </si>
  <si>
    <t>Gateway LoRaWAN
(Multitech Conduit)</t>
  </si>
  <si>
    <t>Sensori IoT
(Dingtek DT-H2S, Sensirion)</t>
  </si>
  <si>
    <t>Infrastruttura + Sensori</t>
  </si>
  <si>
    <t>Rete IoT low-cost per monitoraggio perimetrale esteso a basso costo</t>
  </si>
  <si>
    <t>⚠️ Qualitativo — non legale</t>
  </si>
  <si>
    <t>S1 + S4</t>
  </si>
  <si>
    <t>⭐ BASSA</t>
  </si>
  <si>
    <t>3C.  PUNTI CRITICI RAFFINERIA — Sorgenti Odorigene e Tecnologie Raccomandate</t>
  </si>
  <si>
    <t>Punto Critico</t>
  </si>
  <si>
    <t>Processo</t>
  </si>
  <si>
    <t>Molecole Odorigene
Principali</t>
  </si>
  <si>
    <t>Tecnologia Raccomandata</t>
  </si>
  <si>
    <t>ATEX Richiesto</t>
  </si>
  <si>
    <t>Priorità Odorigena</t>
  </si>
  <si>
    <t>Riferimento Normativo</t>
  </si>
  <si>
    <t>Stoccaggio Greggio
&amp; Prodotti Finiti</t>
  </si>
  <si>
    <t>Serbatoi tetto fisso/galleggiante, carico/scarico autocisterne</t>
  </si>
  <si>
    <t>H₂S, Mercaptani (metantiolo, etantiolo), VOC alifatici, Benzene</t>
  </si>
  <si>
    <t>Ion Science Falco (PID ATEX)
Focused Photonics TDLAS (H₂S)
Chromatotec airmoVOC (BTEX)</t>
  </si>
  <si>
    <t>Sì — Zona 0/1</t>
  </si>
  <si>
    <t>🔴 ALTA</t>
  </si>
  <si>
    <t>D.Lgs.152/06 art.272-bis
AIA — emissioni diffuse</t>
  </si>
  <si>
    <t>Distillazione Atmosferica
&amp; Sotto Vuoto</t>
  </si>
  <si>
    <t>Colonne distillazione, condensatori, sistemi di testa</t>
  </si>
  <si>
    <t>BTEX (Benzene, Toluene, Xileni), Naftalene, Mercaptani, H₂S</t>
  </si>
  <si>
    <t>Dräger X-am 5600 (multi-gas ATEX)
Chromatotec airmoVOC (GC ATEX)
Scentroid SM100i (IOMS tipo C)</t>
  </si>
  <si>
    <t>Sì — Zona 1/2</t>
  </si>
  <si>
    <t>UNI EN 13725:2022
SNPA 268/2025</t>
  </si>
  <si>
    <t>WWTP — Impianto
Trattamento Acque</t>
  </si>
  <si>
    <t>Vasche di sedimentazione, equalizzazione, trattamento biologico</t>
  </si>
  <si>
    <t>H₂S, NH₃, Mercaptani, Amine, Acidi grassi volatili (VFA)</t>
  </si>
  <si>
    <t>Hach Amtax sc (NH₃ liquido)
Focused Photonics TDLAS (H₂S)
Scentroid SM100i (IOMS tipo C)</t>
  </si>
  <si>
    <t>Sì (H₂S) — Zona 2</t>
  </si>
  <si>
    <t>D.Lgs.152/06
AIA — emissioni diffuse</t>
  </si>
  <si>
    <t>Torce (Flaring)</t>
  </si>
  <si>
    <t>Combustione gas di processo, emergenze, start-up/shut-down</t>
  </si>
  <si>
    <t>SO₂, NOx, VOC incombusti, H₂S, Benzene</t>
  </si>
  <si>
    <t>Focused Photonics TDLAS (SO₂/H₂S)
Dräger X-am 5600
Vaisala WXT530 (Meteo)</t>
  </si>
  <si>
    <t>Sì — Zona 1</t>
  </si>
  <si>
    <t>🟡 MEDIA</t>
  </si>
  <si>
    <t>D.Lgs.152/06 art.269
AIA — emissioni convogliate</t>
  </si>
  <si>
    <t>Carico/Scarico
Autocisterne</t>
  </si>
  <si>
    <t>Operazioni di carico prodotti petroliferi, vapori di spostamento</t>
  </si>
  <si>
    <t>Benzene, VOC alifatici, Mercaptani</t>
  </si>
  <si>
    <t>Ion Science Falco (PID ATEX)
Oizom Odosense Pro (IOMS)
Dingtek DT-H2S (H₂S IoT)</t>
  </si>
  <si>
    <t>D.Lgs.152/06 art.272-bis
AIA</t>
  </si>
  <si>
    <t>Perimetro Impianto
(Fenceline)</t>
  </si>
  <si>
    <t>Monitoraggio perimetrale continuo — impatto su comunità</t>
  </si>
  <si>
    <t>H₂S, VOC totali, NH₃, PM2.5, Meteo</t>
  </si>
  <si>
    <t>Oizom Odosense Pro (IOMS)
Vaisala WXT530 (Meteo)
Envirosuite (Modellistica)
Odotech OdoWatch (Software)</t>
  </si>
  <si>
    <t>No — zona sicura</t>
  </si>
  <si>
    <t>SNPA 268/2025
D.D. MASE 309/2023</t>
  </si>
  <si>
    <t>Stazione Carburante
Eni Cafè (Outreach)</t>
  </si>
  <si>
    <t>Stazioni limitrofe all'impianto — comunicazione pubblica</t>
  </si>
  <si>
    <t>VOC generici, PM2.5, Meteo</t>
  </si>
  <si>
    <t>Sensirion SEN54 (MOX/PM low-cost)
Vaisala WXT530 (Meteo)
Envirosuite (Dashboard pubblica)</t>
  </si>
  <si>
    <t>🟢 BASSA
(outreach)</t>
  </si>
  <si>
    <t>Iniziativa volontaria Eni
SNPA 268/2025 (contesto)</t>
  </si>
  <si>
    <t>📖  ISTRUZIONI D'USO &amp; GLOSSARIO — Matrice MCDA Sensori Odorigeni Eni C-Lab</t>
  </si>
  <si>
    <t>4A.  COME USARE LA MATRICE MCDA</t>
  </si>
  <si>
    <t>1. Aggiungere un sensore</t>
  </si>
  <si>
    <t>Vai al foglio MATRICE MCDA. Inserisci una nuova riga sotto l'ultima. Compila i campi nelle colonne A-AQ. I punteggi nelle colonne N, W, AH, AM vengono calcolati automaticamente tramite le formule. Il punteggio MCDA finale (colonna AQ) si aggiorna automaticamente.</t>
  </si>
  <si>
    <t>Usa i dropdown nelle colonne B, G, I, J, K, X-AE per valori standardizzati.</t>
  </si>
  <si>
    <t>2. Modificare i pesi MCDA</t>
  </si>
  <si>
    <t>Vai al foglio PESI &amp; CONFIGURAZIONE. Modifica i valori nelle celle evidenziate in giallo (Compliance %, Performance %, Interoperabilità %, Economico %). La somma deve essere sempre 100%. I pesi si applicano automaticamente al calcolo MCDA.</t>
  </si>
  <si>
    <t>Default: Compliance 40%, Performance 25%, Interoperabilità 20%, Economico 15%.</t>
  </si>
  <si>
    <t>3. Interpretare il semaforo MCDA</t>
  </si>
  <si>
    <t>🟢 VERDE (&gt;7.0): Tecnologia raccomandata — alta priorità di valutazione.
🟡 GIALLO (5.0-7.0): Tecnologia accettabile — valutare caso per caso.
🔴 ROSSO (&lt;5.0): Tecnologia non raccomandata — escludi o approfondisci.</t>
  </si>
  <si>
    <t>Il semaforo è visivo — non sostituisce la valutazione tecnica dell'operatore.</t>
  </si>
  <si>
    <t>4. Flag ATEX rosso</t>
  </si>
  <si>
    <t>Se la colonna G (ATEX) mostra 'No' con sfondo rosso, il sensore NON è certificato per zone classificate ATEX. Non installare in Zone 0, 1 o 2 senza verifica con il fornitore.</t>
  </si>
  <si>
    <t>Verifica sempre la documentazione ATEX originale del fornitore prima dell'installazione.</t>
  </si>
  <si>
    <t>5. Flag SW Chiuso arancione</t>
  </si>
  <si>
    <t>Se la colonna AE (SW Chiuso) mostra 'Sì' con sfondo arancione, il sensore usa software proprietario chiuso. Valuta il rischio di vendor lock-in e la compatibilità con il sistema integrato.</t>
  </si>
  <si>
    <t>Preferire soluzioni con API aperte o protocolli standard (MQTT, Modbus, REST).</t>
  </si>
  <si>
    <t>6. Generare report per ARPA</t>
  </si>
  <si>
    <t>Usa i filtri automatici (riga 4) per filtrare per Scenario, ATEX, Tipo IOMS. Esporta la selezione in PDF o CSV. Integra con i dati di campionamento olfattometrico (UNI EN 13725) per il report completo.</t>
  </si>
  <si>
    <t>Il report deve includere: data, sensore, LOD, accuratezza, protocollo calibrazione, dati meteo.</t>
  </si>
  <si>
    <t>4B.  GLOSSARIO TECNICO</t>
  </si>
  <si>
    <t>Termine</t>
  </si>
  <si>
    <t>Definizione</t>
  </si>
  <si>
    <t>Contesto d'uso</t>
  </si>
  <si>
    <t>ATmosphères EXplosibles — Direttiva 2014/34/UE. Certifica apparecchiature per uso in atmosfere potenzialmente esplosive (gas, vapori, polveri).</t>
  </si>
  <si>
    <t>Raffinerie, impianti chimici, stoccaggio idrocarburi</t>
  </si>
  <si>
    <t>Direttiva 2014/34/UE; D.Lgs. 85/2016</t>
  </si>
  <si>
    <t>CAPEX</t>
  </si>
  <si>
    <t>Capital Expenditure — Costo di acquisto e installazione iniziale del sensore/sistema.</t>
  </si>
  <si>
    <t>Valutazione economica iniziale del progetto</t>
  </si>
  <si>
    <t>OPEX</t>
  </si>
  <si>
    <t>Operational Expenditure — Costo annuo di esercizio (manutenzione, calibrazione, consumabili, licenze).</t>
  </si>
  <si>
    <t>Valutazione TCO su 5 anni</t>
  </si>
  <si>
    <t>TCO</t>
  </si>
  <si>
    <t>Total Cost of Ownership — Costo totale su 5 anni: CAPEX + 5×OPEX. Usato per confronto economico.</t>
  </si>
  <si>
    <t>Colonna 'TCO 5 anni' nella MATRICE MCDA</t>
  </si>
  <si>
    <t>LOD</t>
  </si>
  <si>
    <t>Limit of Detection — Concentrazione minima rilevabile dal sensore. Espresso in ppb o µg/m³.</t>
  </si>
  <si>
    <t>Colonna 'LOD (ppb)' nella MATRICE MCDA</t>
  </si>
  <si>
    <t>ouE/m³</t>
  </si>
  <si>
    <t>Unità di odore europea per metro cubo — unità di misura della concentrazione odorigena. 1 ouE/m³ = soglia di percezione del 50% del panel.</t>
  </si>
  <si>
    <t>Olfattometria dinamica, IOMS tipo C</t>
  </si>
  <si>
    <t>IOMS</t>
  </si>
  <si>
    <t>Instrumental Odour Monitoring System — Sistema strumentale per il monitoraggio degli odori. Classificato in Tipo A (presenza/assenza), B (classe odore), C (quantitativo ouE/m³).</t>
  </si>
  <si>
    <t>Colonna 'Tipo IOMS' nella MATRICE MCDA</t>
  </si>
  <si>
    <t>UNI 11761:2023; SNPA 268/2025</t>
  </si>
  <si>
    <t>MCDA</t>
  </si>
  <si>
    <t>Multi-Criteria Decision Analysis — Metodologia di analisi decisionale multi-criterio. Combina punteggi pesati su più dimensioni per ottenere un ranking oggettivo.</t>
  </si>
  <si>
    <t>Punteggio finale nella colonna AQ</t>
  </si>
  <si>
    <t>PID</t>
  </si>
  <si>
    <t>Photoionization Detector — Rilevatore a fotoionizzazione. Misura VOC totali in aria. Alta sensibilità (ppb), risposta rapida.</t>
  </si>
  <si>
    <t>Ion Science Falco, Aeroqual</t>
  </si>
  <si>
    <t>TDLAS</t>
  </si>
  <si>
    <t>Tunable Diode Laser Absorption Spectroscopy — Spettroscopia laser per misura selettiva di gas specifici (H₂S, CH₄, CO₂). Alta specificità, adatto a zone ATEX.</t>
  </si>
  <si>
    <t>Focused Photonics GasFinder3</t>
  </si>
  <si>
    <t>GC</t>
  </si>
  <si>
    <t>Gas Chromatography — Gascromatografia. Separa e quantifica singoli composti chimici. Standard di riferimento per misure legali.</t>
  </si>
  <si>
    <t>Chromatotec airmoVOC C6</t>
  </si>
  <si>
    <t>FIDOL</t>
  </si>
  <si>
    <t>Frequency, Intensity, Duration, Offensiveness, Location — Parametri per la caratterizzazione dell'impatto odorigeno sulla popolazione.</t>
  </si>
  <si>
    <t>Valutazione impatto odorigeno</t>
  </si>
  <si>
    <t>OTV</t>
  </si>
  <si>
    <t>Odour Threshold Value — Soglia di percezione olfattiva. Concentrazione minima percepibile dal 50% della popolazione.</t>
  </si>
  <si>
    <t>Tabella OTV sotto</t>
  </si>
  <si>
    <t>Delibera SNPA n.268 del 23/01/2025 — Metodologia nazionale per il monitoraggio delle emissioni odorigene. Documento di riferimento per ARPA.</t>
  </si>
  <si>
    <t>Conformità normativa</t>
  </si>
  <si>
    <t>D.D. MASE 309/2023</t>
  </si>
  <si>
    <t>Decreto Direttoriale MASE n.309/2023 — Indirizzi per l'applicazione dell'art.272-bis D.Lgs.152/06 sulle emissioni odorigene.</t>
  </si>
  <si>
    <t>AIA</t>
  </si>
  <si>
    <t>Autorizzazione Integrata Ambientale — Autorizzazione per impianti IPPC. Include prescrizioni su emissioni odorigene.</t>
  </si>
  <si>
    <t>D.Lgs. 152/2006</t>
  </si>
  <si>
    <t>ARPA</t>
  </si>
  <si>
    <t>Agenzia Regionale per la Protezione dell'Ambiente — Ente di controllo ambientale regionale. Destinatario dei report di monitoraggio.</t>
  </si>
  <si>
    <t>Reporting e controllo</t>
  </si>
  <si>
    <t>Message Queuing Telemetry Transport — Protocollo IoT leggero per trasmissione dati sensori. Standard per integrazione cloud.</t>
  </si>
  <si>
    <t>Colonna 'MQTT' nella MATRICE MCDA</t>
  </si>
  <si>
    <t>Protocollo di comunicazione industriale seriale (RS485/TCP). Standard per integrazione con SCADA/DCS.</t>
  </si>
  <si>
    <t>Colonna 'Modbus' nella MATRICE MCDA</t>
  </si>
  <si>
    <t>Long Range Wide Area Network — Protocollo IoT a lungo raggio e basso consumo. Adatto per reti di sensori perimetrali.</t>
  </si>
  <si>
    <t>Colonna 'LoRaWAN' nella MATRICE MCDA</t>
  </si>
  <si>
    <t>4C.  SOGLIE DI PERCEZIONE OLFATTIVA (OTV) — Molecole Tipiche Raffineria</t>
  </si>
  <si>
    <t>Molecola</t>
  </si>
  <si>
    <t>OTV (ppb v/v)</t>
  </si>
  <si>
    <t>Odore Caratteristico</t>
  </si>
  <si>
    <t>Sorgente Tipica Raffineria</t>
  </si>
  <si>
    <t>H₂S — Idrogeno Solforato</t>
  </si>
  <si>
    <t>0.0005 – 0.13</t>
  </si>
  <si>
    <t>Uova marce — molto pungente</t>
  </si>
  <si>
    <t>WWTP, stoccaggio greggio, distillazione</t>
  </si>
  <si>
    <t>Metantiolo (CH₃SH)</t>
  </si>
  <si>
    <t>0.0007 – 0.002</t>
  </si>
  <si>
    <t>Cavolo marcio, aglio</t>
  </si>
  <si>
    <t>Stoccaggio greggio, raffinazione</t>
  </si>
  <si>
    <t>Etantiolo (C₂H₅SH)</t>
  </si>
  <si>
    <t>0.0003 – 0.001</t>
  </si>
  <si>
    <t>Gas naturale (odorizzante)</t>
  </si>
  <si>
    <t>Stoccaggio, carico/scarico</t>
  </si>
  <si>
    <t>Dimetilsolfuro (DMS)</t>
  </si>
  <si>
    <t>0.003 – 0.01</t>
  </si>
  <si>
    <t>Cavolo cotto, alghe</t>
  </si>
  <si>
    <t>WWTP, raffinazione</t>
  </si>
  <si>
    <t>Benzene (C₆H₆)</t>
  </si>
  <si>
    <t>2.7 – 4.7</t>
  </si>
  <si>
    <t>Dolciastro, aromatico</t>
  </si>
  <si>
    <t>Distillazione, stoccaggio, carico</t>
  </si>
  <si>
    <t>Toluene (C₇H₈)</t>
  </si>
  <si>
    <t>0.33 – 1.0</t>
  </si>
  <si>
    <t>Vernice, solvente</t>
  </si>
  <si>
    <t>Distillazione, stoccaggio</t>
  </si>
  <si>
    <t>Xileni (C₈H₁₀)</t>
  </si>
  <si>
    <t>0.08 – 3.7</t>
  </si>
  <si>
    <t>Naftalene (C₁₀H₈)</t>
  </si>
  <si>
    <t>0.003 – 0.08</t>
  </si>
  <si>
    <t>Naftalina, pungente</t>
  </si>
  <si>
    <t>Distillazione sotto vuoto</t>
  </si>
  <si>
    <t>NH₃ — Ammoniaca</t>
  </si>
  <si>
    <t>1.0 – 5.0</t>
  </si>
  <si>
    <t>Pungente, irritante</t>
  </si>
  <si>
    <t>WWTP, trattamento acque</t>
  </si>
  <si>
    <t>SO₂ — Biossido di Zolfo</t>
  </si>
  <si>
    <t>0.5 – 1.0</t>
  </si>
  <si>
    <t>Zolfo bruciato, soffocante</t>
  </si>
  <si>
    <t>Torce, impianti desolforazione</t>
  </si>
  <si>
    <t>Acetaldeide (CH₃CHO)</t>
  </si>
  <si>
    <t>0.001 – 0.015</t>
  </si>
  <si>
    <t>Fruttato, pungente</t>
  </si>
  <si>
    <t>WWTP, ossidazione</t>
  </si>
  <si>
    <t>Acido Acetico (CH₃COOH)</t>
  </si>
  <si>
    <t>0.006 – 1.0</t>
  </si>
  <si>
    <t>Aceto, pungente</t>
  </si>
  <si>
    <t>WWTP, trattamento biologico</t>
  </si>
  <si>
    <t>Stirene (C₈H₈)</t>
  </si>
  <si>
    <t>0.01 – 0.07</t>
  </si>
  <si>
    <t>Plastica, dolciastro</t>
  </si>
  <si>
    <t>Petrolchimica, stoccaggio</t>
  </si>
  <si>
    <t>Mercaptani totali</t>
  </si>
  <si>
    <t>&lt; 0.001</t>
  </si>
  <si>
    <t>Zolfo, aglio — molto intenso</t>
  </si>
  <si>
    <t>⚠️  LIMITAZIONI E AVVERTENZE</t>
  </si>
  <si>
    <t>• I punteggi MCDA sono basati su dati pubblici e dichiarazioni dei fornitori — verificare sempre con datasheet ufficiali e prove sul campo.
• La matrice NON sostituisce la valutazione tecnica di un esperto di sicurezza ATEX certificato.
• I dati economici (CAPEX/OPEX) sono stime indicative — richiedere offerta formale ai fornitori.
• La conformità normativa (SNPA 268/2025, UNI EN 13725) deve essere verificata con ARPA competente per territorio.
• I sensori low-cost (Sensirion, Dingtek) richiedono calibrazione frequente e non sono adatti a misure legali.
• Aggiornare la matrice periodicamente — il mercato dei sensori odorigeni evolve rapidamente.
• Versione: V2.0 — Aprile 2025 — Eni C-Lab | Elaborata con supporto AI (Biomni/Phylo)</t>
  </si>
  <si>
    <t xml:space="preserve">MATRICE MCDA — MONITORAGGIO EMISSIONI ODORIGENE  |  Eni C-Lab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</si>
</sst>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8"/>
      <color rgb="FF555555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1A1A"/>
      <name val="Calibri"/>
      <family val="2"/>
    </font>
    <font>
      <sz val="9"/>
      <color rgb="FF1A1A1A"/>
      <name val="Calibri"/>
      <family val="2"/>
    </font>
    <font>
      <b/>
      <sz val="9"/>
      <color rgb="FF003366"/>
      <name val="Calibri"/>
      <family val="2"/>
    </font>
    <font>
      <b/>
      <sz val="8"/>
      <color rgb="FFFFFFFF"/>
      <name val="Calibri"/>
      <family val="2"/>
    </font>
    <font>
      <sz val="8"/>
      <color rgb="FF1A1A1A"/>
      <name val="Calibri"/>
      <family val="2"/>
    </font>
    <font>
      <i/>
      <sz val="8"/>
      <color rgb="FFDDDDDD"/>
      <name val="Calibri"/>
      <family val="2"/>
    </font>
    <font>
      <u/>
      <sz val="8"/>
      <color rgb="FF0563C1"/>
      <name val="Calibri"/>
      <family val="2"/>
    </font>
    <font>
      <b/>
      <sz val="10"/>
      <color rgb="FF1A1A1A"/>
      <name val="Calibri"/>
      <family val="2"/>
    </font>
    <font>
      <b/>
      <sz val="11"/>
      <color rgb="FF1A1A1A"/>
      <name val="Calibri"/>
      <family val="2"/>
    </font>
    <font>
      <b/>
      <sz val="8"/>
      <color rgb="FF1A1A1A"/>
      <name val="Calibri"/>
      <family val="2"/>
    </font>
    <font>
      <sz val="8"/>
      <color rgb="FF555555"/>
      <name val="Calibri"/>
      <family val="2"/>
    </font>
    <font>
      <sz val="8"/>
      <color rgb="FF0563C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1A5276"/>
      </patternFill>
    </fill>
    <fill>
      <patternFill patternType="solid">
        <fgColor rgb="FF2E4057"/>
      </patternFill>
    </fill>
    <fill>
      <patternFill patternType="solid">
        <fgColor rgb="FFD6E4F0"/>
      </patternFill>
    </fill>
    <fill>
      <patternFill patternType="solid">
        <fgColor rgb="FFFFFACD"/>
      </patternFill>
    </fill>
    <fill>
      <patternFill patternType="solid">
        <fgColor rgb="FFF2F2F2"/>
      </patternFill>
    </fill>
    <fill>
      <patternFill patternType="solid">
        <fgColor rgb="FFD1F2EB"/>
      </patternFill>
    </fill>
    <fill>
      <patternFill patternType="solid">
        <fgColor rgb="FFE8DAEF"/>
      </patternFill>
    </fill>
    <fill>
      <patternFill patternType="solid">
        <fgColor rgb="FFFDEBD0"/>
      </patternFill>
    </fill>
    <fill>
      <patternFill patternType="solid">
        <fgColor rgb="FFE8F5E9"/>
      </patternFill>
    </fill>
    <fill>
      <patternFill patternType="solid">
        <fgColor rgb="FFEAECEE"/>
      </patternFill>
    </fill>
    <fill>
      <patternFill patternType="solid">
        <fgColor rgb="FF1A3A5C"/>
      </patternFill>
    </fill>
    <fill>
      <patternFill patternType="solid">
        <fgColor rgb="FF1F618D"/>
      </patternFill>
    </fill>
    <fill>
      <patternFill patternType="solid">
        <fgColor rgb="FF922B21"/>
      </patternFill>
    </fill>
    <fill>
      <patternFill patternType="solid">
        <fgColor rgb="FF145A32"/>
      </patternFill>
    </fill>
    <fill>
      <patternFill patternType="solid">
        <fgColor rgb="FF784212"/>
      </patternFill>
    </fill>
    <fill>
      <patternFill patternType="solid">
        <fgColor rgb="FF4A235B"/>
      </patternFill>
    </fill>
    <fill>
      <patternFill patternType="solid">
        <fgColor rgb="FF1B2631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8F9FA"/>
      </patternFill>
    </fill>
    <fill>
      <patternFill patternType="solid">
        <fgColor rgb="FFFFF9C4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8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left" vertical="center"/>
    </xf>
    <xf numFmtId="2" fontId="12" fillId="21" borderId="1" xfId="0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left" vertical="top" wrapText="1"/>
    </xf>
    <xf numFmtId="2" fontId="12" fillId="22" borderId="1" xfId="0" applyNumberFormat="1" applyFont="1" applyFill="1" applyBorder="1" applyAlignment="1">
      <alignment horizontal="center" vertical="center"/>
    </xf>
    <xf numFmtId="2" fontId="12" fillId="23" borderId="1" xfId="0" applyNumberFormat="1" applyFont="1" applyFill="1" applyBorder="1" applyAlignment="1">
      <alignment horizontal="center" vertical="center"/>
    </xf>
    <xf numFmtId="164" fontId="6" fillId="20" borderId="1" xfId="0" applyNumberFormat="1" applyFont="1" applyFill="1" applyBorder="1" applyAlignment="1">
      <alignment horizontal="right" vertical="center"/>
    </xf>
    <xf numFmtId="164" fontId="5" fillId="20" borderId="1" xfId="0" applyNumberFormat="1" applyFont="1" applyFill="1" applyBorder="1" applyAlignment="1">
      <alignment horizontal="right" vertical="center"/>
    </xf>
    <xf numFmtId="2" fontId="12" fillId="24" borderId="1" xfId="0" applyNumberFormat="1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left" vertical="center"/>
    </xf>
    <xf numFmtId="0" fontId="9" fillId="25" borderId="1" xfId="0" applyFont="1" applyFill="1" applyBorder="1" applyAlignment="1">
      <alignment horizontal="left" vertical="top" wrapText="1"/>
    </xf>
    <xf numFmtId="164" fontId="6" fillId="25" borderId="1" xfId="0" applyNumberFormat="1" applyFont="1" applyFill="1" applyBorder="1" applyAlignment="1">
      <alignment horizontal="right" vertical="center"/>
    </xf>
    <xf numFmtId="164" fontId="5" fillId="25" borderId="1" xfId="0" applyNumberFormat="1" applyFont="1" applyFill="1" applyBorder="1" applyAlignment="1">
      <alignment horizontal="right" vertical="center"/>
    </xf>
    <xf numFmtId="0" fontId="6" fillId="25" borderId="1" xfId="0" applyFont="1" applyFill="1" applyBorder="1" applyAlignment="1">
      <alignment horizontal="right" vertical="center"/>
    </xf>
    <xf numFmtId="0" fontId="5" fillId="25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top" wrapText="1"/>
    </xf>
    <xf numFmtId="0" fontId="15" fillId="20" borderId="1" xfId="0" applyFont="1" applyFill="1" applyBorder="1" applyAlignment="1">
      <alignment horizontal="left" vertical="top" wrapText="1"/>
    </xf>
    <xf numFmtId="0" fontId="6" fillId="20" borderId="1" xfId="0" applyFont="1" applyFill="1" applyBorder="1" applyAlignment="1">
      <alignment horizontal="left" vertical="center"/>
    </xf>
    <xf numFmtId="0" fontId="16" fillId="20" borderId="1" xfId="0" applyFont="1" applyFill="1" applyBorder="1" applyAlignment="1">
      <alignment horizontal="center" vertical="top" wrapText="1"/>
    </xf>
    <xf numFmtId="0" fontId="16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10" fillId="13" borderId="0" xfId="0" applyFont="1" applyFill="1" applyAlignment="1">
      <alignment horizontal="left" vertical="center"/>
    </xf>
    <xf numFmtId="0" fontId="0" fillId="0" borderId="0" xfId="0"/>
    <xf numFmtId="0" fontId="4" fillId="1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indent="1"/>
    </xf>
    <xf numFmtId="0" fontId="7" fillId="8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15" fillId="27" borderId="0" xfId="0" applyFont="1" applyFill="1" applyAlignment="1">
      <alignment horizontal="left" vertical="top" wrapText="1"/>
    </xf>
    <xf numFmtId="0" fontId="3" fillId="26" borderId="0" xfId="0" applyFont="1" applyFill="1" applyAlignment="1">
      <alignment horizontal="left" vertical="center" indent="1"/>
    </xf>
  </cellXfs>
  <cellStyles count="1">
    <cellStyle name="Normale" xfId="0" builtinId="0"/>
  </cellStyles>
  <dxfs count="9"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F57F17"/>
      </font>
      <fill>
        <patternFill patternType="solid">
          <fgColor rgb="FFFFF9C4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b/>
        <color rgb="FFE65100"/>
      </font>
      <fill>
        <patternFill patternType="solid">
          <fgColor rgb="FFFFE0B2"/>
        </patternFill>
      </fill>
    </dxf>
    <dxf>
      <font>
        <b/>
        <color rgb="FFB71C1C"/>
      </font>
      <fill>
        <patternFill patternType="solid">
          <fgColor rgb="FFFFCDD2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b/>
        <color rgb="FFF57F17"/>
      </font>
      <fill>
        <patternFill patternType="solid">
          <fgColor rgb="FFFFF9C4"/>
        </patternFill>
      </fill>
    </dxf>
    <dxf>
      <font>
        <b/>
        <color rgb="FF1B5E20"/>
      </font>
      <fill>
        <patternFill patternType="solid">
          <fgColor rgb="FFC8E6C9"/>
        </patternFill>
      </fill>
    </dxf>
    <dxf>
      <font>
        <b/>
        <color rgb="FFB71C1C"/>
      </font>
      <fill>
        <patternFill patternType="solid">
          <f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"/>
  <sheetViews>
    <sheetView tabSelected="1" workbookViewId="0">
      <pane xSplit="4" ySplit="4" topLeftCell="AM7" activePane="bottomRight" state="frozen"/>
      <selection pane="topRight"/>
      <selection pane="bottomLeft"/>
      <selection pane="bottomRight" activeCell="O6" sqref="O6"/>
    </sheetView>
  </sheetViews>
  <sheetFormatPr defaultRowHeight="14.25" x14ac:dyDescent="0.45"/>
  <cols>
    <col min="1" max="1" width="8" customWidth="1"/>
    <col min="2" max="2" width="18" customWidth="1"/>
    <col min="3" max="3" width="20" customWidth="1"/>
    <col min="4" max="4" width="28" customWidth="1"/>
    <col min="5" max="5" width="22" customWidth="1"/>
    <col min="6" max="6" width="7" customWidth="1"/>
    <col min="7" max="7" width="10" customWidth="1"/>
    <col min="8" max="11" width="12" customWidth="1"/>
    <col min="12" max="12" width="8" customWidth="1"/>
    <col min="13" max="13" width="22" customWidth="1"/>
    <col min="14" max="14" width="12" customWidth="1"/>
    <col min="15" max="15" width="30" customWidth="1"/>
    <col min="16" max="16" width="10" customWidth="1"/>
    <col min="17" max="17" width="18" customWidth="1"/>
    <col min="18" max="18" width="10" customWidth="1"/>
    <col min="19" max="19" width="14" customWidth="1"/>
    <col min="20" max="20" width="10" customWidth="1"/>
    <col min="21" max="21" width="12" customWidth="1"/>
    <col min="22" max="22" width="8" customWidth="1"/>
    <col min="23" max="23" width="12" customWidth="1"/>
    <col min="24" max="26" width="8" customWidth="1"/>
    <col min="27" max="27" width="10" customWidth="1"/>
    <col min="28" max="29" width="8" customWidth="1"/>
    <col min="30" max="30" width="10" customWidth="1"/>
    <col min="31" max="31" width="12" customWidth="1"/>
    <col min="32" max="32" width="18" customWidth="1"/>
    <col min="33" max="33" width="10" customWidth="1"/>
    <col min="34" max="36" width="14" customWidth="1"/>
    <col min="37" max="37" width="16" customWidth="1"/>
    <col min="38" max="38" width="10" customWidth="1"/>
    <col min="39" max="39" width="12" customWidth="1"/>
    <col min="40" max="41" width="28" customWidth="1"/>
    <col min="42" max="42" width="45" customWidth="1"/>
    <col min="43" max="43" width="14" customWidth="1"/>
    <col min="44" max="44" width="10" customWidth="1"/>
  </cols>
  <sheetData>
    <row r="1" spans="1:44" ht="38" customHeight="1" x14ac:dyDescent="0.45">
      <c r="A1" s="73" t="s">
        <v>739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</row>
    <row r="2" spans="1:44" ht="16.05" customHeight="1" x14ac:dyDescent="0.45">
      <c r="A2" s="70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</row>
    <row r="3" spans="1:44" ht="20" customHeight="1" x14ac:dyDescent="0.45">
      <c r="A3" s="72" t="s">
        <v>1</v>
      </c>
      <c r="B3" s="71"/>
      <c r="C3" s="71"/>
      <c r="D3" s="71"/>
      <c r="E3" s="71"/>
      <c r="F3" s="71"/>
      <c r="G3" s="77" t="s">
        <v>2</v>
      </c>
      <c r="H3" s="71"/>
      <c r="I3" s="71"/>
      <c r="J3" s="71"/>
      <c r="K3" s="71"/>
      <c r="L3" s="71"/>
      <c r="M3" s="71"/>
      <c r="N3" s="71"/>
      <c r="O3" s="74" t="s">
        <v>3</v>
      </c>
      <c r="P3" s="71"/>
      <c r="Q3" s="71"/>
      <c r="R3" s="71"/>
      <c r="S3" s="71"/>
      <c r="T3" s="71"/>
      <c r="U3" s="71"/>
      <c r="V3" s="71"/>
      <c r="W3" s="71"/>
      <c r="X3" s="75" t="s">
        <v>4</v>
      </c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6" t="s">
        <v>5</v>
      </c>
      <c r="AJ3" s="71"/>
      <c r="AK3" s="71"/>
      <c r="AL3" s="71"/>
      <c r="AM3" s="71"/>
      <c r="AN3" s="78" t="s">
        <v>6</v>
      </c>
      <c r="AO3" s="71"/>
      <c r="AP3" s="71"/>
      <c r="AQ3" s="79" t="s">
        <v>7</v>
      </c>
      <c r="AR3" s="71"/>
    </row>
    <row r="4" spans="1:44" ht="55.05" customHeight="1" x14ac:dyDescent="0.4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27</v>
      </c>
      <c r="U4" s="3" t="s">
        <v>28</v>
      </c>
      <c r="V4" s="3" t="s">
        <v>29</v>
      </c>
      <c r="W4" s="3" t="s">
        <v>30</v>
      </c>
      <c r="X4" s="4" t="s">
        <v>31</v>
      </c>
      <c r="Y4" s="4" t="s">
        <v>32</v>
      </c>
      <c r="Z4" s="4" t="s">
        <v>33</v>
      </c>
      <c r="AA4" s="4" t="s">
        <v>34</v>
      </c>
      <c r="AB4" s="4" t="s">
        <v>35</v>
      </c>
      <c r="AC4" s="4" t="s">
        <v>36</v>
      </c>
      <c r="AD4" s="4" t="s">
        <v>37</v>
      </c>
      <c r="AE4" s="4" t="s">
        <v>38</v>
      </c>
      <c r="AF4" s="4" t="s">
        <v>39</v>
      </c>
      <c r="AG4" s="4" t="s">
        <v>40</v>
      </c>
      <c r="AH4" s="4" t="s">
        <v>41</v>
      </c>
      <c r="AI4" s="5" t="s">
        <v>42</v>
      </c>
      <c r="AJ4" s="5" t="s">
        <v>43</v>
      </c>
      <c r="AK4" s="5" t="s">
        <v>44</v>
      </c>
      <c r="AL4" s="5" t="s">
        <v>45</v>
      </c>
      <c r="AM4" s="5" t="s">
        <v>46</v>
      </c>
      <c r="AN4" s="6" t="s">
        <v>47</v>
      </c>
      <c r="AO4" s="6" t="s">
        <v>48</v>
      </c>
      <c r="AP4" s="6" t="s">
        <v>49</v>
      </c>
      <c r="AQ4" s="7" t="s">
        <v>50</v>
      </c>
      <c r="AR4" s="7" t="s">
        <v>51</v>
      </c>
    </row>
    <row r="5" spans="1:44" ht="45" customHeight="1" x14ac:dyDescent="0.45">
      <c r="A5" s="8" t="s">
        <v>52</v>
      </c>
      <c r="B5" s="8" t="s">
        <v>53</v>
      </c>
      <c r="C5" s="8" t="s">
        <v>54</v>
      </c>
      <c r="D5" s="8" t="s">
        <v>55</v>
      </c>
      <c r="E5" s="9" t="s">
        <v>56</v>
      </c>
      <c r="F5" s="8">
        <v>2025</v>
      </c>
      <c r="G5" s="8" t="s">
        <v>57</v>
      </c>
      <c r="H5" s="8" t="s">
        <v>58</v>
      </c>
      <c r="I5" s="8" t="s">
        <v>59</v>
      </c>
      <c r="J5" s="8" t="s">
        <v>60</v>
      </c>
      <c r="K5" s="8" t="s">
        <v>61</v>
      </c>
      <c r="L5" s="8" t="s">
        <v>62</v>
      </c>
      <c r="M5" s="8" t="s">
        <v>63</v>
      </c>
      <c r="N5" s="10">
        <v>5.5</v>
      </c>
      <c r="O5" s="11" t="s">
        <v>64</v>
      </c>
      <c r="P5" s="8" t="s">
        <v>65</v>
      </c>
      <c r="Q5" s="8" t="s">
        <v>66</v>
      </c>
      <c r="R5" s="8" t="s">
        <v>67</v>
      </c>
      <c r="S5" s="8" t="s">
        <v>68</v>
      </c>
      <c r="T5" s="8" t="s">
        <v>69</v>
      </c>
      <c r="U5" s="8" t="s">
        <v>70</v>
      </c>
      <c r="V5" s="8" t="s">
        <v>71</v>
      </c>
      <c r="W5" s="12">
        <v>10</v>
      </c>
      <c r="X5" s="8" t="s">
        <v>59</v>
      </c>
      <c r="Y5" s="8" t="s">
        <v>57</v>
      </c>
      <c r="Z5" s="8" t="s">
        <v>59</v>
      </c>
      <c r="AA5" s="8" t="s">
        <v>59</v>
      </c>
      <c r="AB5" s="8" t="s">
        <v>59</v>
      </c>
      <c r="AC5" s="8" t="s">
        <v>57</v>
      </c>
      <c r="AD5" s="8" t="s">
        <v>57</v>
      </c>
      <c r="AE5" s="8" t="s">
        <v>59</v>
      </c>
      <c r="AF5" s="8" t="s">
        <v>72</v>
      </c>
      <c r="AG5" s="8" t="s">
        <v>73</v>
      </c>
      <c r="AH5" s="13">
        <v>4.8</v>
      </c>
      <c r="AI5" s="14">
        <v>4500</v>
      </c>
      <c r="AJ5" s="14">
        <v>800</v>
      </c>
      <c r="AK5" s="15">
        <v>8500</v>
      </c>
      <c r="AL5" s="8">
        <v>10</v>
      </c>
      <c r="AM5" s="8" t="s">
        <v>57</v>
      </c>
      <c r="AN5" s="11" t="s">
        <v>74</v>
      </c>
      <c r="AO5" s="11" t="s">
        <v>75</v>
      </c>
      <c r="AP5" s="11" t="s">
        <v>76</v>
      </c>
      <c r="AQ5" s="16">
        <v>7.1</v>
      </c>
      <c r="AR5" s="17">
        <v>4</v>
      </c>
    </row>
    <row r="6" spans="1:44" ht="45" customHeight="1" x14ac:dyDescent="0.45">
      <c r="A6" s="18" t="s">
        <v>77</v>
      </c>
      <c r="B6" s="18" t="s">
        <v>78</v>
      </c>
      <c r="C6" s="18" t="s">
        <v>79</v>
      </c>
      <c r="D6" s="18" t="s">
        <v>80</v>
      </c>
      <c r="E6" s="19" t="s">
        <v>81</v>
      </c>
      <c r="F6" s="18">
        <v>2025</v>
      </c>
      <c r="G6" s="18" t="s">
        <v>82</v>
      </c>
      <c r="H6" s="18" t="s">
        <v>83</v>
      </c>
      <c r="I6" s="18" t="s">
        <v>59</v>
      </c>
      <c r="J6" s="18" t="s">
        <v>60</v>
      </c>
      <c r="K6" s="18" t="s">
        <v>84</v>
      </c>
      <c r="L6" s="18" t="s">
        <v>62</v>
      </c>
      <c r="M6" s="18" t="s">
        <v>85</v>
      </c>
      <c r="N6" s="10">
        <v>4</v>
      </c>
      <c r="O6" s="20" t="s">
        <v>86</v>
      </c>
      <c r="P6" s="18" t="s">
        <v>87</v>
      </c>
      <c r="Q6" s="18" t="s">
        <v>88</v>
      </c>
      <c r="R6" s="18" t="s">
        <v>89</v>
      </c>
      <c r="S6" s="18" t="s">
        <v>68</v>
      </c>
      <c r="T6" s="18" t="s">
        <v>90</v>
      </c>
      <c r="U6" s="18" t="s">
        <v>91</v>
      </c>
      <c r="V6" s="18" t="s">
        <v>92</v>
      </c>
      <c r="W6" s="12">
        <v>7.5</v>
      </c>
      <c r="X6" s="18" t="s">
        <v>57</v>
      </c>
      <c r="Y6" s="18" t="s">
        <v>59</v>
      </c>
      <c r="Z6" s="18" t="s">
        <v>57</v>
      </c>
      <c r="AA6" s="18" t="s">
        <v>57</v>
      </c>
      <c r="AB6" s="18" t="s">
        <v>57</v>
      </c>
      <c r="AC6" s="18" t="s">
        <v>59</v>
      </c>
      <c r="AD6" s="18" t="s">
        <v>59</v>
      </c>
      <c r="AE6" s="18" t="s">
        <v>59</v>
      </c>
      <c r="AF6" s="18" t="s">
        <v>93</v>
      </c>
      <c r="AG6" s="18" t="s">
        <v>94</v>
      </c>
      <c r="AH6" s="13">
        <v>6.4</v>
      </c>
      <c r="AI6" s="21">
        <v>5500</v>
      </c>
      <c r="AJ6" s="21">
        <v>600</v>
      </c>
      <c r="AK6" s="22">
        <v>8500</v>
      </c>
      <c r="AL6" s="18">
        <v>7</v>
      </c>
      <c r="AM6" s="18" t="s">
        <v>60</v>
      </c>
      <c r="AN6" s="20" t="s">
        <v>95</v>
      </c>
      <c r="AO6" s="20" t="s">
        <v>96</v>
      </c>
      <c r="AP6" s="20" t="s">
        <v>97</v>
      </c>
      <c r="AQ6" s="16">
        <v>6.19</v>
      </c>
      <c r="AR6" s="17">
        <v>8</v>
      </c>
    </row>
    <row r="7" spans="1:44" ht="45" customHeight="1" x14ac:dyDescent="0.45">
      <c r="A7" s="8" t="s">
        <v>98</v>
      </c>
      <c r="B7" s="8" t="s">
        <v>99</v>
      </c>
      <c r="C7" s="8" t="s">
        <v>100</v>
      </c>
      <c r="D7" s="8" t="s">
        <v>101</v>
      </c>
      <c r="E7" s="9" t="s">
        <v>102</v>
      </c>
      <c r="F7" s="8">
        <v>2025</v>
      </c>
      <c r="G7" s="8" t="s">
        <v>59</v>
      </c>
      <c r="H7" s="8" t="s">
        <v>83</v>
      </c>
      <c r="I7" s="8" t="s">
        <v>59</v>
      </c>
      <c r="J7" s="8" t="s">
        <v>59</v>
      </c>
      <c r="K7" s="8" t="s">
        <v>61</v>
      </c>
      <c r="L7" s="8" t="s">
        <v>103</v>
      </c>
      <c r="M7" s="8" t="s">
        <v>104</v>
      </c>
      <c r="N7" s="10">
        <v>0.5</v>
      </c>
      <c r="O7" s="11" t="s">
        <v>105</v>
      </c>
      <c r="P7" s="8" t="s">
        <v>87</v>
      </c>
      <c r="Q7" s="8" t="s">
        <v>106</v>
      </c>
      <c r="R7" s="8" t="s">
        <v>107</v>
      </c>
      <c r="S7" s="8" t="s">
        <v>68</v>
      </c>
      <c r="T7" s="8" t="s">
        <v>73</v>
      </c>
      <c r="U7" s="8" t="s">
        <v>108</v>
      </c>
      <c r="V7" s="8" t="s">
        <v>71</v>
      </c>
      <c r="W7" s="12">
        <v>7.5</v>
      </c>
      <c r="X7" s="8" t="s">
        <v>59</v>
      </c>
      <c r="Y7" s="8" t="s">
        <v>59</v>
      </c>
      <c r="Z7" s="8" t="s">
        <v>59</v>
      </c>
      <c r="AA7" s="8" t="s">
        <v>59</v>
      </c>
      <c r="AB7" s="8" t="s">
        <v>59</v>
      </c>
      <c r="AC7" s="8" t="s">
        <v>59</v>
      </c>
      <c r="AD7" s="8" t="s">
        <v>57</v>
      </c>
      <c r="AE7" s="8" t="s">
        <v>59</v>
      </c>
      <c r="AF7" s="8" t="s">
        <v>72</v>
      </c>
      <c r="AG7" s="8" t="s">
        <v>73</v>
      </c>
      <c r="AH7" s="13">
        <v>2.8</v>
      </c>
      <c r="AI7" s="14">
        <v>1800</v>
      </c>
      <c r="AJ7" s="14">
        <v>300</v>
      </c>
      <c r="AK7" s="15">
        <v>3300</v>
      </c>
      <c r="AL7" s="8">
        <v>5</v>
      </c>
      <c r="AM7" s="8" t="s">
        <v>57</v>
      </c>
      <c r="AN7" s="11" t="s">
        <v>109</v>
      </c>
      <c r="AO7" s="11" t="s">
        <v>110</v>
      </c>
      <c r="AP7" s="11" t="s">
        <v>111</v>
      </c>
      <c r="AQ7" s="16">
        <v>4.1100000000000003</v>
      </c>
      <c r="AR7" s="17">
        <v>13</v>
      </c>
    </row>
    <row r="8" spans="1:44" ht="45" customHeight="1" x14ac:dyDescent="0.45">
      <c r="A8" s="18" t="s">
        <v>112</v>
      </c>
      <c r="B8" s="18" t="s">
        <v>113</v>
      </c>
      <c r="C8" s="18" t="s">
        <v>114</v>
      </c>
      <c r="D8" s="18" t="s">
        <v>115</v>
      </c>
      <c r="E8" s="19" t="s">
        <v>116</v>
      </c>
      <c r="F8" s="18">
        <v>2025</v>
      </c>
      <c r="G8" s="18" t="s">
        <v>59</v>
      </c>
      <c r="H8" s="18" t="s">
        <v>83</v>
      </c>
      <c r="I8" s="18" t="s">
        <v>83</v>
      </c>
      <c r="J8" s="18" t="s">
        <v>57</v>
      </c>
      <c r="K8" s="18" t="s">
        <v>83</v>
      </c>
      <c r="L8" s="18" t="s">
        <v>62</v>
      </c>
      <c r="M8" s="18" t="s">
        <v>117</v>
      </c>
      <c r="N8" s="10">
        <v>2.5</v>
      </c>
      <c r="O8" s="20" t="s">
        <v>118</v>
      </c>
      <c r="P8" s="18" t="s">
        <v>83</v>
      </c>
      <c r="Q8" s="18" t="s">
        <v>119</v>
      </c>
      <c r="R8" s="18" t="s">
        <v>87</v>
      </c>
      <c r="S8" s="18" t="s">
        <v>68</v>
      </c>
      <c r="T8" s="18" t="s">
        <v>120</v>
      </c>
      <c r="U8" s="18" t="s">
        <v>121</v>
      </c>
      <c r="V8" s="18" t="s">
        <v>122</v>
      </c>
      <c r="W8" s="12">
        <v>5</v>
      </c>
      <c r="X8" s="18" t="s">
        <v>59</v>
      </c>
      <c r="Y8" s="18" t="s">
        <v>57</v>
      </c>
      <c r="Z8" s="18" t="s">
        <v>57</v>
      </c>
      <c r="AA8" s="18" t="s">
        <v>59</v>
      </c>
      <c r="AB8" s="18" t="s">
        <v>59</v>
      </c>
      <c r="AC8" s="18" t="s">
        <v>57</v>
      </c>
      <c r="AD8" s="18" t="s">
        <v>57</v>
      </c>
      <c r="AE8" s="18" t="s">
        <v>59</v>
      </c>
      <c r="AF8" s="18" t="s">
        <v>123</v>
      </c>
      <c r="AG8" s="18" t="s">
        <v>124</v>
      </c>
      <c r="AH8" s="13">
        <v>7</v>
      </c>
      <c r="AI8" s="21">
        <v>3000</v>
      </c>
      <c r="AJ8" s="21">
        <v>150</v>
      </c>
      <c r="AK8" s="22">
        <v>3750</v>
      </c>
      <c r="AL8" s="18">
        <v>15</v>
      </c>
      <c r="AM8" s="18" t="s">
        <v>57</v>
      </c>
      <c r="AN8" s="20" t="s">
        <v>125</v>
      </c>
      <c r="AO8" s="20" t="s">
        <v>126</v>
      </c>
      <c r="AP8" s="20" t="s">
        <v>127</v>
      </c>
      <c r="AQ8" s="16">
        <v>5.12</v>
      </c>
      <c r="AR8" s="17">
        <v>9</v>
      </c>
    </row>
    <row r="9" spans="1:44" ht="45" customHeight="1" x14ac:dyDescent="0.45">
      <c r="A9" s="8" t="s">
        <v>128</v>
      </c>
      <c r="B9" s="8" t="s">
        <v>129</v>
      </c>
      <c r="C9" s="8" t="s">
        <v>130</v>
      </c>
      <c r="D9" s="8" t="s">
        <v>131</v>
      </c>
      <c r="E9" s="9" t="s">
        <v>132</v>
      </c>
      <c r="F9" s="8">
        <v>2025</v>
      </c>
      <c r="G9" s="8" t="s">
        <v>83</v>
      </c>
      <c r="H9" s="8" t="s">
        <v>83</v>
      </c>
      <c r="I9" s="8" t="s">
        <v>57</v>
      </c>
      <c r="J9" s="8" t="s">
        <v>57</v>
      </c>
      <c r="K9" s="8" t="s">
        <v>133</v>
      </c>
      <c r="L9" s="8" t="s">
        <v>83</v>
      </c>
      <c r="M9" s="8" t="s">
        <v>134</v>
      </c>
      <c r="N9" s="10">
        <v>8</v>
      </c>
      <c r="O9" s="11" t="s">
        <v>135</v>
      </c>
      <c r="P9" s="8" t="s">
        <v>83</v>
      </c>
      <c r="Q9" s="8" t="s">
        <v>83</v>
      </c>
      <c r="R9" s="8" t="s">
        <v>83</v>
      </c>
      <c r="S9" s="8" t="s">
        <v>136</v>
      </c>
      <c r="T9" s="8" t="s">
        <v>83</v>
      </c>
      <c r="U9" s="8" t="s">
        <v>83</v>
      </c>
      <c r="V9" s="8" t="s">
        <v>83</v>
      </c>
      <c r="W9" s="12">
        <v>3</v>
      </c>
      <c r="X9" s="8" t="s">
        <v>57</v>
      </c>
      <c r="Y9" s="8" t="s">
        <v>83</v>
      </c>
      <c r="Z9" s="8" t="s">
        <v>57</v>
      </c>
      <c r="AA9" s="8" t="s">
        <v>83</v>
      </c>
      <c r="AB9" s="8" t="s">
        <v>83</v>
      </c>
      <c r="AC9" s="8" t="s">
        <v>83</v>
      </c>
      <c r="AD9" s="8" t="s">
        <v>83</v>
      </c>
      <c r="AE9" s="8" t="s">
        <v>59</v>
      </c>
      <c r="AF9" s="8" t="s">
        <v>137</v>
      </c>
      <c r="AG9" s="8" t="s">
        <v>124</v>
      </c>
      <c r="AH9" s="13">
        <v>5</v>
      </c>
      <c r="AI9" s="14">
        <v>12000</v>
      </c>
      <c r="AJ9" s="14">
        <v>3000</v>
      </c>
      <c r="AK9" s="15">
        <v>27000</v>
      </c>
      <c r="AL9" s="8" t="s">
        <v>138</v>
      </c>
      <c r="AM9" s="8" t="s">
        <v>57</v>
      </c>
      <c r="AN9" s="11" t="s">
        <v>139</v>
      </c>
      <c r="AO9" s="11" t="s">
        <v>140</v>
      </c>
      <c r="AP9" s="11" t="s">
        <v>141</v>
      </c>
      <c r="AQ9" s="16">
        <v>6.25</v>
      </c>
      <c r="AR9" s="17">
        <v>6</v>
      </c>
    </row>
    <row r="10" spans="1:44" ht="45" customHeight="1" x14ac:dyDescent="0.45">
      <c r="A10" s="18" t="s">
        <v>142</v>
      </c>
      <c r="B10" s="18" t="s">
        <v>143</v>
      </c>
      <c r="C10" s="18" t="s">
        <v>144</v>
      </c>
      <c r="D10" s="18" t="s">
        <v>145</v>
      </c>
      <c r="E10" s="19" t="s">
        <v>146</v>
      </c>
      <c r="F10" s="18">
        <v>2025</v>
      </c>
      <c r="G10" s="18" t="s">
        <v>59</v>
      </c>
      <c r="H10" s="18" t="s">
        <v>83</v>
      </c>
      <c r="I10" s="18" t="s">
        <v>83</v>
      </c>
      <c r="J10" s="18" t="s">
        <v>83</v>
      </c>
      <c r="K10" s="18" t="s">
        <v>83</v>
      </c>
      <c r="L10" s="18" t="s">
        <v>147</v>
      </c>
      <c r="M10" s="18" t="s">
        <v>148</v>
      </c>
      <c r="N10" s="10">
        <v>1</v>
      </c>
      <c r="O10" s="20" t="s">
        <v>149</v>
      </c>
      <c r="P10" s="18" t="s">
        <v>83</v>
      </c>
      <c r="Q10" s="18" t="s">
        <v>150</v>
      </c>
      <c r="R10" s="18" t="s">
        <v>83</v>
      </c>
      <c r="S10" s="18" t="s">
        <v>68</v>
      </c>
      <c r="T10" s="18" t="s">
        <v>83</v>
      </c>
      <c r="U10" s="18" t="s">
        <v>83</v>
      </c>
      <c r="V10" s="18" t="s">
        <v>92</v>
      </c>
      <c r="W10" s="12">
        <v>3.5</v>
      </c>
      <c r="X10" s="18" t="s">
        <v>57</v>
      </c>
      <c r="Y10" s="18" t="s">
        <v>59</v>
      </c>
      <c r="Z10" s="18" t="s">
        <v>57</v>
      </c>
      <c r="AA10" s="18" t="s">
        <v>57</v>
      </c>
      <c r="AB10" s="18" t="s">
        <v>57</v>
      </c>
      <c r="AC10" s="18" t="s">
        <v>59</v>
      </c>
      <c r="AD10" s="18" t="s">
        <v>59</v>
      </c>
      <c r="AE10" s="18" t="s">
        <v>59</v>
      </c>
      <c r="AF10" s="18" t="s">
        <v>123</v>
      </c>
      <c r="AG10" s="18" t="s">
        <v>94</v>
      </c>
      <c r="AH10" s="13">
        <v>6.4</v>
      </c>
      <c r="AI10" s="21">
        <v>700</v>
      </c>
      <c r="AJ10" s="23">
        <v>0</v>
      </c>
      <c r="AK10" s="22">
        <v>700</v>
      </c>
      <c r="AL10" s="18">
        <v>10</v>
      </c>
      <c r="AM10" s="18" t="s">
        <v>57</v>
      </c>
      <c r="AN10" s="20" t="s">
        <v>151</v>
      </c>
      <c r="AO10" s="20" t="s">
        <v>83</v>
      </c>
      <c r="AP10" s="20" t="s">
        <v>152</v>
      </c>
      <c r="AQ10" s="16">
        <v>4.05</v>
      </c>
      <c r="AR10" s="17">
        <v>15</v>
      </c>
    </row>
    <row r="11" spans="1:44" ht="45" customHeight="1" x14ac:dyDescent="0.45">
      <c r="A11" s="8" t="s">
        <v>153</v>
      </c>
      <c r="B11" s="8" t="s">
        <v>154</v>
      </c>
      <c r="C11" s="8" t="s">
        <v>155</v>
      </c>
      <c r="D11" s="8" t="s">
        <v>156</v>
      </c>
      <c r="E11" s="9" t="s">
        <v>157</v>
      </c>
      <c r="F11" s="8">
        <v>2025</v>
      </c>
      <c r="G11" s="8" t="s">
        <v>59</v>
      </c>
      <c r="H11" s="8" t="s">
        <v>83</v>
      </c>
      <c r="I11" s="8" t="s">
        <v>59</v>
      </c>
      <c r="J11" s="8" t="s">
        <v>59</v>
      </c>
      <c r="K11" s="8" t="s">
        <v>84</v>
      </c>
      <c r="L11" s="8" t="s">
        <v>83</v>
      </c>
      <c r="M11" s="8" t="s">
        <v>158</v>
      </c>
      <c r="N11" s="10">
        <v>1</v>
      </c>
      <c r="O11" s="11" t="s">
        <v>159</v>
      </c>
      <c r="P11" s="8" t="s">
        <v>160</v>
      </c>
      <c r="Q11" s="8" t="s">
        <v>161</v>
      </c>
      <c r="R11" s="8" t="s">
        <v>162</v>
      </c>
      <c r="S11" s="8" t="s">
        <v>68</v>
      </c>
      <c r="T11" s="8" t="s">
        <v>69</v>
      </c>
      <c r="U11" s="8" t="s">
        <v>163</v>
      </c>
      <c r="V11" s="8" t="s">
        <v>71</v>
      </c>
      <c r="W11" s="12">
        <v>7</v>
      </c>
      <c r="X11" s="8" t="s">
        <v>59</v>
      </c>
      <c r="Y11" s="8" t="s">
        <v>59</v>
      </c>
      <c r="Z11" s="8" t="s">
        <v>57</v>
      </c>
      <c r="AA11" s="8" t="s">
        <v>59</v>
      </c>
      <c r="AB11" s="8" t="s">
        <v>59</v>
      </c>
      <c r="AC11" s="8" t="s">
        <v>59</v>
      </c>
      <c r="AD11" s="8" t="s">
        <v>59</v>
      </c>
      <c r="AE11" s="8" t="s">
        <v>59</v>
      </c>
      <c r="AF11" s="8" t="s">
        <v>164</v>
      </c>
      <c r="AG11" s="8" t="s">
        <v>67</v>
      </c>
      <c r="AH11" s="13">
        <v>2.2000000000000002</v>
      </c>
      <c r="AI11" s="14">
        <v>500</v>
      </c>
      <c r="AJ11" s="14">
        <v>200</v>
      </c>
      <c r="AK11" s="15">
        <v>1500</v>
      </c>
      <c r="AL11" s="8">
        <v>5</v>
      </c>
      <c r="AM11" s="8" t="s">
        <v>59</v>
      </c>
      <c r="AN11" s="11" t="s">
        <v>165</v>
      </c>
      <c r="AO11" s="11" t="s">
        <v>166</v>
      </c>
      <c r="AP11" s="11" t="s">
        <v>167</v>
      </c>
      <c r="AQ11" s="16">
        <v>4.08</v>
      </c>
      <c r="AR11" s="17">
        <v>14</v>
      </c>
    </row>
    <row r="12" spans="1:44" ht="45" customHeight="1" x14ac:dyDescent="0.45">
      <c r="A12" s="18" t="s">
        <v>168</v>
      </c>
      <c r="B12" s="18" t="s">
        <v>154</v>
      </c>
      <c r="C12" s="18" t="s">
        <v>169</v>
      </c>
      <c r="D12" s="18" t="s">
        <v>170</v>
      </c>
      <c r="E12" s="19" t="s">
        <v>171</v>
      </c>
      <c r="F12" s="18">
        <v>2025</v>
      </c>
      <c r="G12" s="18" t="s">
        <v>59</v>
      </c>
      <c r="H12" s="18" t="s">
        <v>83</v>
      </c>
      <c r="I12" s="18" t="s">
        <v>59</v>
      </c>
      <c r="J12" s="18" t="s">
        <v>59</v>
      </c>
      <c r="K12" s="18" t="s">
        <v>84</v>
      </c>
      <c r="L12" s="18" t="s">
        <v>83</v>
      </c>
      <c r="M12" s="18" t="s">
        <v>172</v>
      </c>
      <c r="N12" s="10">
        <v>1</v>
      </c>
      <c r="O12" s="20" t="s">
        <v>173</v>
      </c>
      <c r="P12" s="18" t="s">
        <v>87</v>
      </c>
      <c r="Q12" s="18" t="s">
        <v>174</v>
      </c>
      <c r="R12" s="18" t="s">
        <v>124</v>
      </c>
      <c r="S12" s="18" t="s">
        <v>68</v>
      </c>
      <c r="T12" s="18" t="s">
        <v>90</v>
      </c>
      <c r="U12" s="18" t="s">
        <v>175</v>
      </c>
      <c r="V12" s="18" t="s">
        <v>176</v>
      </c>
      <c r="W12" s="12">
        <v>6</v>
      </c>
      <c r="X12" s="18" t="s">
        <v>59</v>
      </c>
      <c r="Y12" s="18" t="s">
        <v>59</v>
      </c>
      <c r="Z12" s="18" t="s">
        <v>59</v>
      </c>
      <c r="AA12" s="18" t="s">
        <v>59</v>
      </c>
      <c r="AB12" s="18" t="s">
        <v>59</v>
      </c>
      <c r="AC12" s="18" t="s">
        <v>59</v>
      </c>
      <c r="AD12" s="18" t="s">
        <v>59</v>
      </c>
      <c r="AE12" s="18" t="s">
        <v>57</v>
      </c>
      <c r="AF12" s="18" t="s">
        <v>72</v>
      </c>
      <c r="AG12" s="18" t="s">
        <v>67</v>
      </c>
      <c r="AH12" s="13">
        <v>0</v>
      </c>
      <c r="AI12" s="21">
        <v>300</v>
      </c>
      <c r="AJ12" s="21">
        <v>100</v>
      </c>
      <c r="AK12" s="22">
        <v>800</v>
      </c>
      <c r="AL12" s="18">
        <v>3</v>
      </c>
      <c r="AM12" s="18" t="s">
        <v>59</v>
      </c>
      <c r="AN12" s="20" t="s">
        <v>165</v>
      </c>
      <c r="AO12" s="20" t="s">
        <v>177</v>
      </c>
      <c r="AP12" s="20" t="s">
        <v>178</v>
      </c>
      <c r="AQ12" s="16">
        <v>3.39</v>
      </c>
      <c r="AR12" s="17">
        <v>19</v>
      </c>
    </row>
    <row r="13" spans="1:44" ht="45" customHeight="1" x14ac:dyDescent="0.45">
      <c r="A13" s="8" t="s">
        <v>179</v>
      </c>
      <c r="B13" s="8" t="s">
        <v>180</v>
      </c>
      <c r="C13" s="8" t="s">
        <v>181</v>
      </c>
      <c r="D13" s="8" t="s">
        <v>182</v>
      </c>
      <c r="E13" s="9" t="s">
        <v>183</v>
      </c>
      <c r="F13" s="8">
        <v>2025</v>
      </c>
      <c r="G13" s="8" t="s">
        <v>59</v>
      </c>
      <c r="H13" s="8" t="s">
        <v>83</v>
      </c>
      <c r="I13" s="8" t="s">
        <v>59</v>
      </c>
      <c r="J13" s="8" t="s">
        <v>59</v>
      </c>
      <c r="K13" s="8" t="s">
        <v>61</v>
      </c>
      <c r="L13" s="8" t="s">
        <v>83</v>
      </c>
      <c r="M13" s="8" t="s">
        <v>184</v>
      </c>
      <c r="N13" s="10">
        <v>0.5</v>
      </c>
      <c r="O13" s="11" t="s">
        <v>185</v>
      </c>
      <c r="P13" s="8" t="s">
        <v>186</v>
      </c>
      <c r="Q13" s="8" t="s">
        <v>187</v>
      </c>
      <c r="R13" s="8" t="s">
        <v>188</v>
      </c>
      <c r="S13" s="8" t="s">
        <v>68</v>
      </c>
      <c r="T13" s="8" t="s">
        <v>69</v>
      </c>
      <c r="U13" s="8" t="s">
        <v>189</v>
      </c>
      <c r="V13" s="8" t="s">
        <v>176</v>
      </c>
      <c r="W13" s="12">
        <v>6.5</v>
      </c>
      <c r="X13" s="8" t="s">
        <v>59</v>
      </c>
      <c r="Y13" s="8" t="s">
        <v>59</v>
      </c>
      <c r="Z13" s="8" t="s">
        <v>59</v>
      </c>
      <c r="AA13" s="8" t="s">
        <v>59</v>
      </c>
      <c r="AB13" s="8" t="s">
        <v>59</v>
      </c>
      <c r="AC13" s="8" t="s">
        <v>59</v>
      </c>
      <c r="AD13" s="8" t="s">
        <v>59</v>
      </c>
      <c r="AE13" s="8" t="s">
        <v>59</v>
      </c>
      <c r="AF13" s="8" t="s">
        <v>190</v>
      </c>
      <c r="AG13" s="8" t="s">
        <v>67</v>
      </c>
      <c r="AH13" s="13">
        <v>1.2</v>
      </c>
      <c r="AI13" s="14">
        <v>50</v>
      </c>
      <c r="AJ13" s="14">
        <v>20</v>
      </c>
      <c r="AK13" s="15">
        <v>150</v>
      </c>
      <c r="AL13" s="8">
        <v>10</v>
      </c>
      <c r="AM13" s="8" t="s">
        <v>59</v>
      </c>
      <c r="AN13" s="11" t="s">
        <v>109</v>
      </c>
      <c r="AO13" s="11" t="s">
        <v>191</v>
      </c>
      <c r="AP13" s="11" t="s">
        <v>192</v>
      </c>
      <c r="AQ13" s="16">
        <v>3.56</v>
      </c>
      <c r="AR13" s="17">
        <v>18</v>
      </c>
    </row>
    <row r="14" spans="1:44" ht="45" customHeight="1" x14ac:dyDescent="0.45">
      <c r="A14" s="18" t="s">
        <v>193</v>
      </c>
      <c r="B14" s="18" t="s">
        <v>99</v>
      </c>
      <c r="C14" s="18" t="s">
        <v>194</v>
      </c>
      <c r="D14" s="18" t="s">
        <v>195</v>
      </c>
      <c r="E14" s="19" t="s">
        <v>196</v>
      </c>
      <c r="F14" s="18">
        <v>2025</v>
      </c>
      <c r="G14" s="18" t="s">
        <v>57</v>
      </c>
      <c r="H14" s="18" t="s">
        <v>197</v>
      </c>
      <c r="I14" s="18" t="s">
        <v>59</v>
      </c>
      <c r="J14" s="18" t="s">
        <v>60</v>
      </c>
      <c r="K14" s="18" t="s">
        <v>61</v>
      </c>
      <c r="L14" s="18" t="s">
        <v>147</v>
      </c>
      <c r="M14" s="18" t="s">
        <v>198</v>
      </c>
      <c r="N14" s="10">
        <v>5.5</v>
      </c>
      <c r="O14" s="20" t="s">
        <v>199</v>
      </c>
      <c r="P14" s="18" t="s">
        <v>200</v>
      </c>
      <c r="Q14" s="18" t="s">
        <v>201</v>
      </c>
      <c r="R14" s="18" t="s">
        <v>202</v>
      </c>
      <c r="S14" s="18" t="s">
        <v>68</v>
      </c>
      <c r="T14" s="18" t="s">
        <v>90</v>
      </c>
      <c r="U14" s="18" t="s">
        <v>108</v>
      </c>
      <c r="V14" s="18" t="s">
        <v>71</v>
      </c>
      <c r="W14" s="12">
        <v>8</v>
      </c>
      <c r="X14" s="18" t="s">
        <v>59</v>
      </c>
      <c r="Y14" s="18" t="s">
        <v>59</v>
      </c>
      <c r="Z14" s="18" t="s">
        <v>57</v>
      </c>
      <c r="AA14" s="18" t="s">
        <v>59</v>
      </c>
      <c r="AB14" s="18" t="s">
        <v>59</v>
      </c>
      <c r="AC14" s="18" t="s">
        <v>59</v>
      </c>
      <c r="AD14" s="18" t="s">
        <v>57</v>
      </c>
      <c r="AE14" s="18" t="s">
        <v>59</v>
      </c>
      <c r="AF14" s="18" t="s">
        <v>203</v>
      </c>
      <c r="AG14" s="18" t="s">
        <v>73</v>
      </c>
      <c r="AH14" s="13">
        <v>3.8</v>
      </c>
      <c r="AI14" s="21">
        <v>3500</v>
      </c>
      <c r="AJ14" s="21">
        <v>700</v>
      </c>
      <c r="AK14" s="22">
        <v>7000</v>
      </c>
      <c r="AL14" s="18">
        <v>8</v>
      </c>
      <c r="AM14" s="18" t="s">
        <v>57</v>
      </c>
      <c r="AN14" s="20" t="s">
        <v>204</v>
      </c>
      <c r="AO14" s="20" t="s">
        <v>205</v>
      </c>
      <c r="AP14" s="20" t="s">
        <v>206</v>
      </c>
      <c r="AQ14" s="16">
        <v>6.41</v>
      </c>
      <c r="AR14" s="17">
        <v>5</v>
      </c>
    </row>
    <row r="15" spans="1:44" ht="45" customHeight="1" x14ac:dyDescent="0.45">
      <c r="A15" s="8" t="s">
        <v>207</v>
      </c>
      <c r="B15" s="8" t="s">
        <v>78</v>
      </c>
      <c r="C15" s="8" t="s">
        <v>208</v>
      </c>
      <c r="D15" s="8" t="s">
        <v>209</v>
      </c>
      <c r="E15" s="9" t="s">
        <v>210</v>
      </c>
      <c r="F15" s="8">
        <v>2025</v>
      </c>
      <c r="G15" s="8" t="s">
        <v>82</v>
      </c>
      <c r="H15" s="8" t="s">
        <v>83</v>
      </c>
      <c r="I15" s="8" t="s">
        <v>60</v>
      </c>
      <c r="J15" s="8" t="s">
        <v>57</v>
      </c>
      <c r="K15" s="8" t="s">
        <v>133</v>
      </c>
      <c r="L15" s="8" t="s">
        <v>211</v>
      </c>
      <c r="M15" s="8" t="s">
        <v>212</v>
      </c>
      <c r="N15" s="10">
        <v>7</v>
      </c>
      <c r="O15" s="11" t="s">
        <v>213</v>
      </c>
      <c r="P15" s="8" t="s">
        <v>188</v>
      </c>
      <c r="Q15" s="8" t="s">
        <v>214</v>
      </c>
      <c r="R15" s="8" t="s">
        <v>107</v>
      </c>
      <c r="S15" s="8" t="s">
        <v>68</v>
      </c>
      <c r="T15" s="8" t="s">
        <v>73</v>
      </c>
      <c r="U15" s="8" t="s">
        <v>215</v>
      </c>
      <c r="V15" s="8" t="s">
        <v>71</v>
      </c>
      <c r="W15" s="12">
        <v>5.5</v>
      </c>
      <c r="X15" s="8" t="s">
        <v>57</v>
      </c>
      <c r="Y15" s="8" t="s">
        <v>57</v>
      </c>
      <c r="Z15" s="8" t="s">
        <v>57</v>
      </c>
      <c r="AA15" s="8" t="s">
        <v>59</v>
      </c>
      <c r="AB15" s="8" t="s">
        <v>57</v>
      </c>
      <c r="AC15" s="8" t="s">
        <v>57</v>
      </c>
      <c r="AD15" s="8" t="s">
        <v>57</v>
      </c>
      <c r="AE15" s="8" t="s">
        <v>59</v>
      </c>
      <c r="AF15" s="8" t="s">
        <v>93</v>
      </c>
      <c r="AG15" s="8" t="s">
        <v>94</v>
      </c>
      <c r="AH15" s="13">
        <v>8.4</v>
      </c>
      <c r="AI15" s="14">
        <v>18000</v>
      </c>
      <c r="AJ15" s="14">
        <v>2500</v>
      </c>
      <c r="AK15" s="15">
        <v>30500</v>
      </c>
      <c r="AL15" s="8">
        <v>10</v>
      </c>
      <c r="AM15" s="8" t="s">
        <v>60</v>
      </c>
      <c r="AN15" s="11" t="s">
        <v>216</v>
      </c>
      <c r="AO15" s="11" t="s">
        <v>217</v>
      </c>
      <c r="AP15" s="11" t="s">
        <v>218</v>
      </c>
      <c r="AQ15" s="16">
        <v>7.13</v>
      </c>
      <c r="AR15" s="17">
        <v>2</v>
      </c>
    </row>
    <row r="16" spans="1:44" ht="45" customHeight="1" x14ac:dyDescent="0.45">
      <c r="A16" s="18" t="s">
        <v>219</v>
      </c>
      <c r="B16" s="18" t="s">
        <v>220</v>
      </c>
      <c r="C16" s="18" t="s">
        <v>221</v>
      </c>
      <c r="D16" s="18" t="s">
        <v>222</v>
      </c>
      <c r="E16" s="19" t="s">
        <v>223</v>
      </c>
      <c r="F16" s="18">
        <v>2025</v>
      </c>
      <c r="G16" s="18" t="s">
        <v>57</v>
      </c>
      <c r="H16" s="18" t="s">
        <v>197</v>
      </c>
      <c r="I16" s="18" t="s">
        <v>57</v>
      </c>
      <c r="J16" s="18" t="s">
        <v>57</v>
      </c>
      <c r="K16" s="18" t="s">
        <v>133</v>
      </c>
      <c r="L16" s="18" t="s">
        <v>211</v>
      </c>
      <c r="M16" s="18" t="s">
        <v>224</v>
      </c>
      <c r="N16" s="10">
        <v>10</v>
      </c>
      <c r="O16" s="20" t="s">
        <v>225</v>
      </c>
      <c r="P16" s="18" t="s">
        <v>226</v>
      </c>
      <c r="Q16" s="18" t="s">
        <v>227</v>
      </c>
      <c r="R16" s="18" t="s">
        <v>228</v>
      </c>
      <c r="S16" s="18" t="s">
        <v>229</v>
      </c>
      <c r="T16" s="18" t="s">
        <v>69</v>
      </c>
      <c r="U16" s="18" t="s">
        <v>108</v>
      </c>
      <c r="V16" s="18" t="s">
        <v>71</v>
      </c>
      <c r="W16" s="12">
        <v>7</v>
      </c>
      <c r="X16" s="18" t="s">
        <v>59</v>
      </c>
      <c r="Y16" s="18" t="s">
        <v>57</v>
      </c>
      <c r="Z16" s="18" t="s">
        <v>57</v>
      </c>
      <c r="AA16" s="18" t="s">
        <v>59</v>
      </c>
      <c r="AB16" s="18" t="s">
        <v>59</v>
      </c>
      <c r="AC16" s="18" t="s">
        <v>57</v>
      </c>
      <c r="AD16" s="18" t="s">
        <v>57</v>
      </c>
      <c r="AE16" s="18" t="s">
        <v>59</v>
      </c>
      <c r="AF16" s="18" t="s">
        <v>123</v>
      </c>
      <c r="AG16" s="18" t="s">
        <v>73</v>
      </c>
      <c r="AH16" s="13">
        <v>5.8</v>
      </c>
      <c r="AI16" s="21">
        <v>35000</v>
      </c>
      <c r="AJ16" s="21">
        <v>4000</v>
      </c>
      <c r="AK16" s="22">
        <v>55000</v>
      </c>
      <c r="AL16" s="18">
        <v>12</v>
      </c>
      <c r="AM16" s="18" t="s">
        <v>60</v>
      </c>
      <c r="AN16" s="20" t="s">
        <v>230</v>
      </c>
      <c r="AO16" s="20" t="s">
        <v>231</v>
      </c>
      <c r="AP16" s="20" t="s">
        <v>232</v>
      </c>
      <c r="AQ16" s="16">
        <v>8</v>
      </c>
      <c r="AR16" s="17">
        <v>1</v>
      </c>
    </row>
    <row r="17" spans="1:44" ht="45" customHeight="1" x14ac:dyDescent="0.45">
      <c r="A17" s="8" t="s">
        <v>233</v>
      </c>
      <c r="B17" s="8" t="s">
        <v>234</v>
      </c>
      <c r="C17" s="8" t="s">
        <v>235</v>
      </c>
      <c r="D17" s="8" t="s">
        <v>236</v>
      </c>
      <c r="E17" s="9" t="s">
        <v>237</v>
      </c>
      <c r="F17" s="8">
        <v>2025</v>
      </c>
      <c r="G17" s="8" t="s">
        <v>59</v>
      </c>
      <c r="H17" s="8" t="s">
        <v>83</v>
      </c>
      <c r="I17" s="8" t="s">
        <v>59</v>
      </c>
      <c r="J17" s="8" t="s">
        <v>59</v>
      </c>
      <c r="K17" s="8" t="s">
        <v>61</v>
      </c>
      <c r="L17" s="8" t="s">
        <v>238</v>
      </c>
      <c r="M17" s="8" t="s">
        <v>239</v>
      </c>
      <c r="N17" s="10">
        <v>0.5</v>
      </c>
      <c r="O17" s="11" t="s">
        <v>240</v>
      </c>
      <c r="P17" s="8" t="s">
        <v>83</v>
      </c>
      <c r="Q17" s="8" t="s">
        <v>241</v>
      </c>
      <c r="R17" s="8" t="s">
        <v>87</v>
      </c>
      <c r="S17" s="8" t="s">
        <v>68</v>
      </c>
      <c r="T17" s="8" t="s">
        <v>69</v>
      </c>
      <c r="U17" s="8" t="s">
        <v>91</v>
      </c>
      <c r="V17" s="8" t="s">
        <v>176</v>
      </c>
      <c r="W17" s="12">
        <v>6.5</v>
      </c>
      <c r="X17" s="8" t="s">
        <v>59</v>
      </c>
      <c r="Y17" s="8" t="s">
        <v>59</v>
      </c>
      <c r="Z17" s="8" t="s">
        <v>59</v>
      </c>
      <c r="AA17" s="8" t="s">
        <v>59</v>
      </c>
      <c r="AB17" s="8" t="s">
        <v>59</v>
      </c>
      <c r="AC17" s="8" t="s">
        <v>57</v>
      </c>
      <c r="AD17" s="8" t="s">
        <v>59</v>
      </c>
      <c r="AE17" s="8" t="s">
        <v>59</v>
      </c>
      <c r="AF17" s="8" t="s">
        <v>242</v>
      </c>
      <c r="AG17" s="8" t="s">
        <v>67</v>
      </c>
      <c r="AH17" s="13">
        <v>2.2000000000000002</v>
      </c>
      <c r="AI17" s="14">
        <v>400</v>
      </c>
      <c r="AJ17" s="14">
        <v>100</v>
      </c>
      <c r="AK17" s="15">
        <v>900</v>
      </c>
      <c r="AL17" s="8">
        <v>5</v>
      </c>
      <c r="AM17" s="8" t="s">
        <v>59</v>
      </c>
      <c r="AN17" s="11" t="s">
        <v>109</v>
      </c>
      <c r="AO17" s="11" t="s">
        <v>243</v>
      </c>
      <c r="AP17" s="11" t="s">
        <v>244</v>
      </c>
      <c r="AQ17" s="16">
        <v>3.76</v>
      </c>
      <c r="AR17" s="17">
        <v>16</v>
      </c>
    </row>
    <row r="18" spans="1:44" ht="45" customHeight="1" x14ac:dyDescent="0.45">
      <c r="A18" s="18" t="s">
        <v>245</v>
      </c>
      <c r="B18" s="18" t="s">
        <v>129</v>
      </c>
      <c r="C18" s="18" t="s">
        <v>246</v>
      </c>
      <c r="D18" s="18" t="s">
        <v>247</v>
      </c>
      <c r="E18" s="19" t="s">
        <v>248</v>
      </c>
      <c r="F18" s="18">
        <v>2025</v>
      </c>
      <c r="G18" s="18" t="s">
        <v>83</v>
      </c>
      <c r="H18" s="18" t="s">
        <v>83</v>
      </c>
      <c r="I18" s="18" t="s">
        <v>57</v>
      </c>
      <c r="J18" s="18" t="s">
        <v>57</v>
      </c>
      <c r="K18" s="18" t="s">
        <v>133</v>
      </c>
      <c r="L18" s="18" t="s">
        <v>83</v>
      </c>
      <c r="M18" s="18" t="s">
        <v>249</v>
      </c>
      <c r="N18" s="10">
        <v>8</v>
      </c>
      <c r="O18" s="20" t="s">
        <v>250</v>
      </c>
      <c r="P18" s="18" t="s">
        <v>83</v>
      </c>
      <c r="Q18" s="18" t="s">
        <v>83</v>
      </c>
      <c r="R18" s="18" t="s">
        <v>83</v>
      </c>
      <c r="S18" s="18" t="s">
        <v>136</v>
      </c>
      <c r="T18" s="18" t="s">
        <v>83</v>
      </c>
      <c r="U18" s="18" t="s">
        <v>83</v>
      </c>
      <c r="V18" s="18" t="s">
        <v>83</v>
      </c>
      <c r="W18" s="12">
        <v>3</v>
      </c>
      <c r="X18" s="18" t="s">
        <v>57</v>
      </c>
      <c r="Y18" s="18" t="s">
        <v>83</v>
      </c>
      <c r="Z18" s="18" t="s">
        <v>57</v>
      </c>
      <c r="AA18" s="18" t="s">
        <v>83</v>
      </c>
      <c r="AB18" s="18" t="s">
        <v>83</v>
      </c>
      <c r="AC18" s="18" t="s">
        <v>83</v>
      </c>
      <c r="AD18" s="18" t="s">
        <v>83</v>
      </c>
      <c r="AE18" s="18" t="s">
        <v>59</v>
      </c>
      <c r="AF18" s="18" t="s">
        <v>137</v>
      </c>
      <c r="AG18" s="18" t="s">
        <v>94</v>
      </c>
      <c r="AH18" s="13">
        <v>4.4000000000000004</v>
      </c>
      <c r="AI18" s="21">
        <v>8000</v>
      </c>
      <c r="AJ18" s="21">
        <v>2000</v>
      </c>
      <c r="AK18" s="22">
        <v>18000</v>
      </c>
      <c r="AL18" s="18" t="s">
        <v>138</v>
      </c>
      <c r="AM18" s="18" t="s">
        <v>60</v>
      </c>
      <c r="AN18" s="20" t="s">
        <v>139</v>
      </c>
      <c r="AO18" s="20" t="s">
        <v>251</v>
      </c>
      <c r="AP18" s="20" t="s">
        <v>252</v>
      </c>
      <c r="AQ18" s="16">
        <v>6.2</v>
      </c>
      <c r="AR18" s="17">
        <v>7</v>
      </c>
    </row>
    <row r="19" spans="1:44" ht="45" customHeight="1" x14ac:dyDescent="0.45">
      <c r="A19" s="8" t="s">
        <v>253</v>
      </c>
      <c r="B19" s="8" t="s">
        <v>254</v>
      </c>
      <c r="C19" s="8" t="s">
        <v>255</v>
      </c>
      <c r="D19" s="8" t="s">
        <v>256</v>
      </c>
      <c r="E19" s="9" t="s">
        <v>257</v>
      </c>
      <c r="F19" s="8">
        <v>2025</v>
      </c>
      <c r="G19" s="8" t="s">
        <v>57</v>
      </c>
      <c r="H19" s="8" t="s">
        <v>197</v>
      </c>
      <c r="I19" s="8" t="s">
        <v>59</v>
      </c>
      <c r="J19" s="8" t="s">
        <v>60</v>
      </c>
      <c r="K19" s="8" t="s">
        <v>61</v>
      </c>
      <c r="L19" s="8" t="s">
        <v>211</v>
      </c>
      <c r="M19" s="8" t="s">
        <v>258</v>
      </c>
      <c r="N19" s="10">
        <v>5.5</v>
      </c>
      <c r="O19" s="11" t="s">
        <v>259</v>
      </c>
      <c r="P19" s="8" t="s">
        <v>65</v>
      </c>
      <c r="Q19" s="8" t="s">
        <v>260</v>
      </c>
      <c r="R19" s="8" t="s">
        <v>87</v>
      </c>
      <c r="S19" s="8" t="s">
        <v>68</v>
      </c>
      <c r="T19" s="8" t="s">
        <v>120</v>
      </c>
      <c r="U19" s="8" t="s">
        <v>70</v>
      </c>
      <c r="V19" s="8" t="s">
        <v>92</v>
      </c>
      <c r="W19" s="12">
        <v>10</v>
      </c>
      <c r="X19" s="8" t="s">
        <v>59</v>
      </c>
      <c r="Y19" s="8" t="s">
        <v>57</v>
      </c>
      <c r="Z19" s="8" t="s">
        <v>57</v>
      </c>
      <c r="AA19" s="8" t="s">
        <v>59</v>
      </c>
      <c r="AB19" s="8" t="s">
        <v>59</v>
      </c>
      <c r="AC19" s="8" t="s">
        <v>57</v>
      </c>
      <c r="AD19" s="8" t="s">
        <v>57</v>
      </c>
      <c r="AE19" s="8" t="s">
        <v>59</v>
      </c>
      <c r="AF19" s="8" t="s">
        <v>72</v>
      </c>
      <c r="AG19" s="8" t="s">
        <v>73</v>
      </c>
      <c r="AH19" s="13">
        <v>5.8</v>
      </c>
      <c r="AI19" s="14">
        <v>25000</v>
      </c>
      <c r="AJ19" s="14">
        <v>1500</v>
      </c>
      <c r="AK19" s="15">
        <v>32500</v>
      </c>
      <c r="AL19" s="8">
        <v>15</v>
      </c>
      <c r="AM19" s="8" t="s">
        <v>60</v>
      </c>
      <c r="AN19" s="11" t="s">
        <v>204</v>
      </c>
      <c r="AO19" s="11" t="s">
        <v>261</v>
      </c>
      <c r="AP19" s="11" t="s">
        <v>262</v>
      </c>
      <c r="AQ19" s="16">
        <v>7.12</v>
      </c>
      <c r="AR19" s="17">
        <v>3</v>
      </c>
    </row>
    <row r="20" spans="1:44" ht="45" customHeight="1" x14ac:dyDescent="0.45">
      <c r="A20" s="18" t="s">
        <v>263</v>
      </c>
      <c r="B20" s="18" t="s">
        <v>99</v>
      </c>
      <c r="C20" s="18" t="s">
        <v>264</v>
      </c>
      <c r="D20" s="18" t="s">
        <v>265</v>
      </c>
      <c r="E20" s="19" t="s">
        <v>266</v>
      </c>
      <c r="F20" s="18">
        <v>2025</v>
      </c>
      <c r="G20" s="18" t="s">
        <v>59</v>
      </c>
      <c r="H20" s="18" t="s">
        <v>83</v>
      </c>
      <c r="I20" s="18" t="s">
        <v>59</v>
      </c>
      <c r="J20" s="18" t="s">
        <v>59</v>
      </c>
      <c r="K20" s="18" t="s">
        <v>61</v>
      </c>
      <c r="L20" s="18" t="s">
        <v>147</v>
      </c>
      <c r="M20" s="18" t="s">
        <v>267</v>
      </c>
      <c r="N20" s="10">
        <v>0.5</v>
      </c>
      <c r="O20" s="20" t="s">
        <v>268</v>
      </c>
      <c r="P20" s="18" t="s">
        <v>87</v>
      </c>
      <c r="Q20" s="18" t="s">
        <v>269</v>
      </c>
      <c r="R20" s="18" t="s">
        <v>89</v>
      </c>
      <c r="S20" s="18" t="s">
        <v>68</v>
      </c>
      <c r="T20" s="18" t="s">
        <v>69</v>
      </c>
      <c r="U20" s="18" t="s">
        <v>108</v>
      </c>
      <c r="V20" s="18" t="s">
        <v>71</v>
      </c>
      <c r="W20" s="12">
        <v>7.5</v>
      </c>
      <c r="X20" s="18" t="s">
        <v>59</v>
      </c>
      <c r="Y20" s="18" t="s">
        <v>59</v>
      </c>
      <c r="Z20" s="18" t="s">
        <v>59</v>
      </c>
      <c r="AA20" s="18" t="s">
        <v>57</v>
      </c>
      <c r="AB20" s="18" t="s">
        <v>59</v>
      </c>
      <c r="AC20" s="18" t="s">
        <v>59</v>
      </c>
      <c r="AD20" s="18" t="s">
        <v>59</v>
      </c>
      <c r="AE20" s="18" t="s">
        <v>59</v>
      </c>
      <c r="AF20" s="18" t="s">
        <v>270</v>
      </c>
      <c r="AG20" s="18" t="s">
        <v>73</v>
      </c>
      <c r="AH20" s="13">
        <v>2.8</v>
      </c>
      <c r="AI20" s="21">
        <v>200</v>
      </c>
      <c r="AJ20" s="21">
        <v>50</v>
      </c>
      <c r="AK20" s="22">
        <v>450</v>
      </c>
      <c r="AL20" s="18">
        <v>5</v>
      </c>
      <c r="AM20" s="18" t="s">
        <v>59</v>
      </c>
      <c r="AN20" s="20" t="s">
        <v>109</v>
      </c>
      <c r="AO20" s="20" t="s">
        <v>268</v>
      </c>
      <c r="AP20" s="20" t="s">
        <v>271</v>
      </c>
      <c r="AQ20" s="16">
        <v>4.13</v>
      </c>
      <c r="AR20" s="17">
        <v>12</v>
      </c>
    </row>
    <row r="21" spans="1:44" ht="45" customHeight="1" x14ac:dyDescent="0.45">
      <c r="A21" s="8" t="s">
        <v>272</v>
      </c>
      <c r="B21" s="8" t="s">
        <v>273</v>
      </c>
      <c r="C21" s="8" t="s">
        <v>274</v>
      </c>
      <c r="D21" s="8" t="s">
        <v>275</v>
      </c>
      <c r="E21" s="9" t="s">
        <v>276</v>
      </c>
      <c r="F21" s="8">
        <v>2025</v>
      </c>
      <c r="G21" s="8" t="s">
        <v>59</v>
      </c>
      <c r="H21" s="8" t="s">
        <v>83</v>
      </c>
      <c r="I21" s="8" t="s">
        <v>59</v>
      </c>
      <c r="J21" s="8" t="s">
        <v>60</v>
      </c>
      <c r="K21" s="8" t="s">
        <v>83</v>
      </c>
      <c r="L21" s="8" t="s">
        <v>211</v>
      </c>
      <c r="M21" s="8" t="s">
        <v>277</v>
      </c>
      <c r="N21" s="10">
        <v>1</v>
      </c>
      <c r="O21" s="11" t="s">
        <v>278</v>
      </c>
      <c r="P21" s="8" t="s">
        <v>226</v>
      </c>
      <c r="Q21" s="8" t="s">
        <v>279</v>
      </c>
      <c r="R21" s="8" t="s">
        <v>228</v>
      </c>
      <c r="S21" s="8" t="s">
        <v>280</v>
      </c>
      <c r="T21" s="8" t="s">
        <v>87</v>
      </c>
      <c r="U21" s="8" t="s">
        <v>108</v>
      </c>
      <c r="V21" s="8" t="s">
        <v>281</v>
      </c>
      <c r="W21" s="12">
        <v>7</v>
      </c>
      <c r="X21" s="8" t="s">
        <v>59</v>
      </c>
      <c r="Y21" s="8" t="s">
        <v>57</v>
      </c>
      <c r="Z21" s="8" t="s">
        <v>57</v>
      </c>
      <c r="AA21" s="8" t="s">
        <v>59</v>
      </c>
      <c r="AB21" s="8" t="s">
        <v>59</v>
      </c>
      <c r="AC21" s="8" t="s">
        <v>57</v>
      </c>
      <c r="AD21" s="8" t="s">
        <v>57</v>
      </c>
      <c r="AE21" s="8" t="s">
        <v>59</v>
      </c>
      <c r="AF21" s="8" t="s">
        <v>72</v>
      </c>
      <c r="AG21" s="8" t="s">
        <v>94</v>
      </c>
      <c r="AH21" s="13">
        <v>6.4</v>
      </c>
      <c r="AI21" s="14">
        <v>8000</v>
      </c>
      <c r="AJ21" s="14">
        <v>1500</v>
      </c>
      <c r="AK21" s="15">
        <v>15500</v>
      </c>
      <c r="AL21" s="8">
        <v>10</v>
      </c>
      <c r="AM21" s="8" t="s">
        <v>57</v>
      </c>
      <c r="AN21" s="11" t="s">
        <v>282</v>
      </c>
      <c r="AO21" s="11" t="s">
        <v>283</v>
      </c>
      <c r="AP21" s="11" t="s">
        <v>284</v>
      </c>
      <c r="AQ21" s="16">
        <v>4.8099999999999996</v>
      </c>
      <c r="AR21" s="17">
        <v>11</v>
      </c>
    </row>
    <row r="22" spans="1:44" ht="45" customHeight="1" x14ac:dyDescent="0.45">
      <c r="A22" s="18" t="s">
        <v>285</v>
      </c>
      <c r="B22" s="18" t="s">
        <v>286</v>
      </c>
      <c r="C22" s="18" t="s">
        <v>287</v>
      </c>
      <c r="D22" s="18" t="s">
        <v>288</v>
      </c>
      <c r="E22" s="19" t="s">
        <v>289</v>
      </c>
      <c r="F22" s="18">
        <v>2025</v>
      </c>
      <c r="G22" s="18" t="s">
        <v>82</v>
      </c>
      <c r="H22" s="18" t="s">
        <v>83</v>
      </c>
      <c r="I22" s="18" t="s">
        <v>59</v>
      </c>
      <c r="J22" s="18" t="s">
        <v>60</v>
      </c>
      <c r="K22" s="18" t="s">
        <v>83</v>
      </c>
      <c r="L22" s="18" t="s">
        <v>103</v>
      </c>
      <c r="M22" s="18" t="s">
        <v>290</v>
      </c>
      <c r="N22" s="10">
        <v>3</v>
      </c>
      <c r="O22" s="20" t="s">
        <v>291</v>
      </c>
      <c r="P22" s="18" t="s">
        <v>83</v>
      </c>
      <c r="Q22" s="18" t="s">
        <v>292</v>
      </c>
      <c r="R22" s="18" t="s">
        <v>83</v>
      </c>
      <c r="S22" s="18" t="s">
        <v>293</v>
      </c>
      <c r="T22" s="18" t="s">
        <v>83</v>
      </c>
      <c r="U22" s="18" t="s">
        <v>83</v>
      </c>
      <c r="V22" s="18" t="s">
        <v>176</v>
      </c>
      <c r="W22" s="12">
        <v>2.5</v>
      </c>
      <c r="X22" s="18" t="s">
        <v>59</v>
      </c>
      <c r="Y22" s="18" t="s">
        <v>57</v>
      </c>
      <c r="Z22" s="18" t="s">
        <v>59</v>
      </c>
      <c r="AA22" s="18" t="s">
        <v>59</v>
      </c>
      <c r="AB22" s="18" t="s">
        <v>59</v>
      </c>
      <c r="AC22" s="18" t="s">
        <v>57</v>
      </c>
      <c r="AD22" s="18" t="s">
        <v>57</v>
      </c>
      <c r="AE22" s="18" t="s">
        <v>59</v>
      </c>
      <c r="AF22" s="18" t="s">
        <v>72</v>
      </c>
      <c r="AG22" s="18" t="s">
        <v>73</v>
      </c>
      <c r="AH22" s="13">
        <v>4.8</v>
      </c>
      <c r="AI22" s="21">
        <v>50000</v>
      </c>
      <c r="AJ22" s="21">
        <v>5000</v>
      </c>
      <c r="AK22" s="22">
        <v>75000</v>
      </c>
      <c r="AL22" s="18">
        <v>20</v>
      </c>
      <c r="AM22" s="18" t="s">
        <v>57</v>
      </c>
      <c r="AN22" s="20" t="s">
        <v>282</v>
      </c>
      <c r="AO22" s="20" t="s">
        <v>294</v>
      </c>
      <c r="AP22" s="20" t="s">
        <v>295</v>
      </c>
      <c r="AQ22" s="16">
        <v>3.72</v>
      </c>
      <c r="AR22" s="17">
        <v>17</v>
      </c>
    </row>
    <row r="23" spans="1:44" ht="45" customHeight="1" x14ac:dyDescent="0.45">
      <c r="A23" s="8" t="s">
        <v>296</v>
      </c>
      <c r="B23" s="8" t="s">
        <v>297</v>
      </c>
      <c r="C23" s="8" t="s">
        <v>298</v>
      </c>
      <c r="D23" s="8" t="s">
        <v>299</v>
      </c>
      <c r="E23" s="9" t="s">
        <v>300</v>
      </c>
      <c r="F23" s="8">
        <v>2025</v>
      </c>
      <c r="G23" s="8" t="s">
        <v>82</v>
      </c>
      <c r="H23" s="8" t="s">
        <v>83</v>
      </c>
      <c r="I23" s="8" t="s">
        <v>83</v>
      </c>
      <c r="J23" s="8" t="s">
        <v>83</v>
      </c>
      <c r="K23" s="8" t="s">
        <v>83</v>
      </c>
      <c r="L23" s="8" t="s">
        <v>83</v>
      </c>
      <c r="M23" s="8" t="s">
        <v>301</v>
      </c>
      <c r="N23" s="10">
        <v>3</v>
      </c>
      <c r="O23" s="11" t="s">
        <v>302</v>
      </c>
      <c r="P23" s="8" t="s">
        <v>83</v>
      </c>
      <c r="Q23" s="8" t="s">
        <v>83</v>
      </c>
      <c r="R23" s="8" t="s">
        <v>83</v>
      </c>
      <c r="S23" s="8" t="s">
        <v>303</v>
      </c>
      <c r="T23" s="8" t="s">
        <v>83</v>
      </c>
      <c r="U23" s="8" t="s">
        <v>83</v>
      </c>
      <c r="V23" s="8" t="s">
        <v>83</v>
      </c>
      <c r="W23" s="12">
        <v>2.5</v>
      </c>
      <c r="X23" s="8" t="s">
        <v>57</v>
      </c>
      <c r="Y23" s="8" t="s">
        <v>57</v>
      </c>
      <c r="Z23" s="8" t="s">
        <v>57</v>
      </c>
      <c r="AA23" s="8" t="s">
        <v>57</v>
      </c>
      <c r="AB23" s="8" t="s">
        <v>57</v>
      </c>
      <c r="AC23" s="8" t="s">
        <v>57</v>
      </c>
      <c r="AD23" s="8" t="s">
        <v>57</v>
      </c>
      <c r="AE23" s="8" t="s">
        <v>59</v>
      </c>
      <c r="AF23" s="8" t="s">
        <v>93</v>
      </c>
      <c r="AG23" s="8" t="s">
        <v>124</v>
      </c>
      <c r="AH23" s="13">
        <v>10</v>
      </c>
      <c r="AI23" s="14">
        <v>20000</v>
      </c>
      <c r="AJ23" s="14">
        <v>3000</v>
      </c>
      <c r="AK23" s="15">
        <v>35000</v>
      </c>
      <c r="AL23" s="8">
        <v>10</v>
      </c>
      <c r="AM23" s="8" t="s">
        <v>57</v>
      </c>
      <c r="AN23" s="11" t="s">
        <v>151</v>
      </c>
      <c r="AO23" s="11" t="s">
        <v>304</v>
      </c>
      <c r="AP23" s="11" t="s">
        <v>305</v>
      </c>
      <c r="AQ23" s="16">
        <v>5.0599999999999996</v>
      </c>
      <c r="AR23" s="17">
        <v>10</v>
      </c>
    </row>
    <row r="24" spans="1:44" ht="45" customHeight="1" x14ac:dyDescent="0.45">
      <c r="A24" s="18" t="s">
        <v>306</v>
      </c>
      <c r="B24" s="18" t="s">
        <v>307</v>
      </c>
      <c r="C24" s="18" t="s">
        <v>307</v>
      </c>
      <c r="D24" s="18" t="s">
        <v>308</v>
      </c>
      <c r="E24" s="19" t="s">
        <v>309</v>
      </c>
      <c r="F24" s="18">
        <v>2025</v>
      </c>
      <c r="G24" s="18" t="s">
        <v>310</v>
      </c>
      <c r="H24" s="18" t="s">
        <v>310</v>
      </c>
      <c r="I24" s="18" t="s">
        <v>310</v>
      </c>
      <c r="J24" s="18" t="s">
        <v>310</v>
      </c>
      <c r="K24" s="18" t="s">
        <v>310</v>
      </c>
      <c r="L24" s="18" t="s">
        <v>310</v>
      </c>
      <c r="M24" s="18" t="s">
        <v>310</v>
      </c>
      <c r="N24" s="10">
        <v>0</v>
      </c>
      <c r="O24" s="20" t="s">
        <v>310</v>
      </c>
      <c r="P24" s="18" t="s">
        <v>310</v>
      </c>
      <c r="Q24" s="18" t="s">
        <v>310</v>
      </c>
      <c r="R24" s="18" t="s">
        <v>310</v>
      </c>
      <c r="S24" s="18" t="s">
        <v>310</v>
      </c>
      <c r="T24" s="18" t="s">
        <v>310</v>
      </c>
      <c r="U24" s="18" t="s">
        <v>310</v>
      </c>
      <c r="V24" s="18" t="s">
        <v>310</v>
      </c>
      <c r="W24" s="12">
        <v>0</v>
      </c>
      <c r="X24" s="18" t="s">
        <v>310</v>
      </c>
      <c r="Y24" s="18" t="s">
        <v>310</v>
      </c>
      <c r="Z24" s="18" t="s">
        <v>310</v>
      </c>
      <c r="AA24" s="18" t="s">
        <v>310</v>
      </c>
      <c r="AB24" s="18" t="s">
        <v>310</v>
      </c>
      <c r="AC24" s="18" t="s">
        <v>310</v>
      </c>
      <c r="AD24" s="18" t="s">
        <v>310</v>
      </c>
      <c r="AE24" s="18" t="s">
        <v>310</v>
      </c>
      <c r="AF24" s="18" t="s">
        <v>310</v>
      </c>
      <c r="AG24" s="18" t="s">
        <v>310</v>
      </c>
      <c r="AH24" s="13">
        <v>0</v>
      </c>
      <c r="AI24" s="23">
        <v>0</v>
      </c>
      <c r="AJ24" s="23">
        <v>0</v>
      </c>
      <c r="AK24" s="24">
        <v>0</v>
      </c>
      <c r="AL24" s="18">
        <v>0</v>
      </c>
      <c r="AM24" s="18" t="s">
        <v>310</v>
      </c>
      <c r="AN24" s="20" t="s">
        <v>310</v>
      </c>
      <c r="AO24" s="20" t="s">
        <v>310</v>
      </c>
      <c r="AP24" s="20" t="s">
        <v>311</v>
      </c>
      <c r="AQ24" s="16">
        <v>0</v>
      </c>
      <c r="AR24" s="17">
        <v>20</v>
      </c>
    </row>
  </sheetData>
  <autoFilter ref="A4:AR24" xr:uid="{00000000-0009-0000-0000-000000000000}"/>
  <mergeCells count="9">
    <mergeCell ref="A2:AQ2"/>
    <mergeCell ref="A3:F3"/>
    <mergeCell ref="A1:AQ1"/>
    <mergeCell ref="O3:W3"/>
    <mergeCell ref="X3:AH3"/>
    <mergeCell ref="AI3:AM3"/>
    <mergeCell ref="G3:N3"/>
    <mergeCell ref="AN3:AP3"/>
    <mergeCell ref="AQ3:AR3"/>
  </mergeCells>
  <conditionalFormatting sqref="G5:G24">
    <cfRule type="cellIs" dxfId="8" priority="4" operator="equal">
      <formula>"No"</formula>
    </cfRule>
    <cfRule type="cellIs" dxfId="7" priority="5" operator="equal">
      <formula>"Sì"</formula>
    </cfRule>
    <cfRule type="cellIs" dxfId="6" priority="6" operator="equal">
      <formula>"Opzionale"</formula>
    </cfRule>
  </conditionalFormatting>
  <conditionalFormatting sqref="N5:N24">
    <cfRule type="cellIs" dxfId="5" priority="7" operator="greaterThan">
      <formula>7</formula>
    </cfRule>
    <cfRule type="cellIs" dxfId="4" priority="8" operator="lessThan">
      <formula>4</formula>
    </cfRule>
  </conditionalFormatting>
  <conditionalFormatting sqref="AE5:AE24">
    <cfRule type="cellIs" dxfId="3" priority="9" operator="equal">
      <formula>"Sì"</formula>
    </cfRule>
  </conditionalFormatting>
  <conditionalFormatting sqref="AQ5:AQ24">
    <cfRule type="cellIs" dxfId="2" priority="1" operator="greaterThan">
      <formula>7</formula>
    </cfRule>
    <cfRule type="cellIs" dxfId="1" priority="2" operator="between">
      <formula>5</formula>
      <formula>7</formula>
    </cfRule>
    <cfRule type="cellIs" dxfId="0" priority="3" operator="lessThan">
      <formula>5</formula>
    </cfRule>
  </conditionalFormatting>
  <dataValidations count="5">
    <dataValidation type="list" allowBlank="1" sqref="G5:G54" xr:uid="{00000000-0002-0000-0000-000000000000}">
      <formula1>"Sì,No,Opzionale,NA"</formula1>
    </dataValidation>
    <dataValidation type="list" allowBlank="1" sqref="I5:J54" xr:uid="{00000000-0002-0000-0000-000001000000}">
      <formula1>"Sì,Parziale,No,NA"</formula1>
    </dataValidation>
    <dataValidation type="list" allowBlank="1" sqref="K5:K54" xr:uid="{00000000-0002-0000-0000-000003000000}">
      <formula1>"A,B,C,A/B,B/C,NA"</formula1>
    </dataValidation>
    <dataValidation type="list" allowBlank="1" sqref="B5:B54" xr:uid="{00000000-0002-0000-0000-000004000000}">
      <formula1>_xlfn._LONGTEXT("IOMS / Naso Elettronico,Sensore Elettrochimico,PID/FID,GC Portatile / In continuo,Stazione Meteo,Software / Piattaforma,Gateway / Trasmissione,Sensore Laser (TDLAS),Sensore MOX / PM,Sensore Ottico / PM,Analizzatore On-line,Sistema Abbattimento,Integrazion","e / Custom,Innovativo / Startup")</formula1>
    </dataValidation>
    <dataValidation type="list" allowBlank="1" sqref="X5:X54 Y5:Y54 Z5:Z54 AA5:AA54 AB5:AB54 AC5:AC54 AD5:AD54 AE5:AE54" xr:uid="{00000000-0002-0000-0000-000005000000}">
      <formula1>"Sì,No,NA"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workbookViewId="0">
      <selection activeCell="D8" sqref="D8"/>
    </sheetView>
  </sheetViews>
  <sheetFormatPr defaultRowHeight="14.25" x14ac:dyDescent="0.45"/>
  <cols>
    <col min="1" max="1" width="35" customWidth="1"/>
    <col min="2" max="2" width="20" customWidth="1"/>
    <col min="3" max="3" width="18" customWidth="1"/>
    <col min="4" max="4" width="55" customWidth="1"/>
  </cols>
  <sheetData>
    <row r="1" spans="1:4" ht="35" customHeight="1" x14ac:dyDescent="0.45">
      <c r="A1" s="73" t="s">
        <v>312</v>
      </c>
      <c r="B1" s="71"/>
      <c r="C1" s="71"/>
      <c r="D1" s="71"/>
    </row>
    <row r="2" spans="1:4" ht="14" customHeight="1" x14ac:dyDescent="0.45">
      <c r="A2" s="83" t="s">
        <v>313</v>
      </c>
      <c r="B2" s="71"/>
      <c r="C2" s="71"/>
      <c r="D2" s="71"/>
    </row>
    <row r="4" spans="1:4" ht="20" customHeight="1" x14ac:dyDescent="0.45">
      <c r="A4" s="81" t="s">
        <v>314</v>
      </c>
      <c r="B4" s="71"/>
      <c r="C4" s="71"/>
      <c r="D4" s="71"/>
    </row>
    <row r="5" spans="1:4" ht="18" customHeight="1" x14ac:dyDescent="0.45">
      <c r="A5" s="25" t="s">
        <v>315</v>
      </c>
      <c r="B5" s="25" t="s">
        <v>316</v>
      </c>
      <c r="C5" s="25" t="s">
        <v>317</v>
      </c>
      <c r="D5" s="25" t="s">
        <v>318</v>
      </c>
    </row>
    <row r="6" spans="1:4" ht="18" customHeight="1" x14ac:dyDescent="0.45">
      <c r="A6" s="26" t="s">
        <v>319</v>
      </c>
      <c r="B6" s="27" t="s">
        <v>320</v>
      </c>
      <c r="C6" s="28">
        <v>0.4</v>
      </c>
      <c r="D6" s="29" t="s">
        <v>321</v>
      </c>
    </row>
    <row r="7" spans="1:4" ht="18" customHeight="1" x14ac:dyDescent="0.45">
      <c r="A7" s="30" t="s">
        <v>322</v>
      </c>
      <c r="B7" s="27" t="s">
        <v>323</v>
      </c>
      <c r="C7" s="28">
        <v>0.25</v>
      </c>
      <c r="D7" s="29" t="s">
        <v>324</v>
      </c>
    </row>
    <row r="8" spans="1:4" ht="18" customHeight="1" x14ac:dyDescent="0.45">
      <c r="A8" s="31" t="s">
        <v>325</v>
      </c>
      <c r="B8" s="27" t="s">
        <v>326</v>
      </c>
      <c r="C8" s="28">
        <v>0.2</v>
      </c>
      <c r="D8" s="29" t="s">
        <v>327</v>
      </c>
    </row>
    <row r="9" spans="1:4" ht="18" customHeight="1" x14ac:dyDescent="0.45">
      <c r="A9" s="32" t="s">
        <v>328</v>
      </c>
      <c r="B9" s="27" t="s">
        <v>329</v>
      </c>
      <c r="C9" s="28">
        <v>0.15</v>
      </c>
      <c r="D9" s="29" t="s">
        <v>330</v>
      </c>
    </row>
    <row r="10" spans="1:4" ht="18" customHeight="1" x14ac:dyDescent="0.45">
      <c r="A10" s="33" t="s">
        <v>331</v>
      </c>
      <c r="B10" s="34" t="s">
        <v>332</v>
      </c>
      <c r="C10" s="35">
        <v>1</v>
      </c>
      <c r="D10" s="36" t="s">
        <v>333</v>
      </c>
    </row>
    <row r="12" spans="1:4" ht="20" customHeight="1" x14ac:dyDescent="0.45">
      <c r="A12" s="81" t="s">
        <v>334</v>
      </c>
      <c r="B12" s="71"/>
      <c r="C12" s="71"/>
      <c r="D12" s="71"/>
    </row>
    <row r="13" spans="1:4" ht="16.05" customHeight="1" x14ac:dyDescent="0.45">
      <c r="A13" s="85" t="s">
        <v>335</v>
      </c>
      <c r="B13" s="71"/>
      <c r="C13" s="71"/>
      <c r="D13" s="71"/>
    </row>
    <row r="14" spans="1:4" ht="15" customHeight="1" x14ac:dyDescent="0.45">
      <c r="A14" s="37" t="s">
        <v>336</v>
      </c>
      <c r="B14" s="37" t="s">
        <v>337</v>
      </c>
      <c r="C14" s="37" t="s">
        <v>338</v>
      </c>
      <c r="D14" s="37" t="s">
        <v>339</v>
      </c>
    </row>
    <row r="15" spans="1:4" ht="15" customHeight="1" x14ac:dyDescent="0.45">
      <c r="A15" s="38" t="s">
        <v>340</v>
      </c>
      <c r="B15" s="38" t="s">
        <v>341</v>
      </c>
      <c r="C15" s="38" t="s">
        <v>342</v>
      </c>
      <c r="D15" s="38" t="s">
        <v>343</v>
      </c>
    </row>
    <row r="16" spans="1:4" ht="15" customHeight="1" x14ac:dyDescent="0.45">
      <c r="A16" s="39" t="s">
        <v>340</v>
      </c>
      <c r="B16" s="39" t="s">
        <v>82</v>
      </c>
      <c r="C16" s="39" t="s">
        <v>344</v>
      </c>
      <c r="D16" s="39" t="s">
        <v>345</v>
      </c>
    </row>
    <row r="17" spans="1:4" ht="15" customHeight="1" x14ac:dyDescent="0.45">
      <c r="A17" s="38" t="s">
        <v>340</v>
      </c>
      <c r="B17" s="38" t="s">
        <v>59</v>
      </c>
      <c r="C17" s="38" t="s">
        <v>346</v>
      </c>
      <c r="D17" s="38" t="s">
        <v>347</v>
      </c>
    </row>
    <row r="18" spans="1:4" ht="15" customHeight="1" x14ac:dyDescent="0.45">
      <c r="A18" s="39" t="s">
        <v>340</v>
      </c>
      <c r="B18" s="39" t="s">
        <v>348</v>
      </c>
      <c r="C18" s="39" t="s">
        <v>344</v>
      </c>
      <c r="D18" s="39" t="s">
        <v>349</v>
      </c>
    </row>
    <row r="19" spans="1:4" ht="15" customHeight="1" x14ac:dyDescent="0.45">
      <c r="A19" s="38" t="s">
        <v>350</v>
      </c>
      <c r="B19" s="38" t="s">
        <v>57</v>
      </c>
      <c r="C19" s="38" t="s">
        <v>344</v>
      </c>
      <c r="D19" s="38" t="s">
        <v>351</v>
      </c>
    </row>
    <row r="20" spans="1:4" ht="15" customHeight="1" x14ac:dyDescent="0.45">
      <c r="A20" s="39" t="s">
        <v>350</v>
      </c>
      <c r="B20" s="39" t="s">
        <v>60</v>
      </c>
      <c r="C20" s="39" t="s">
        <v>352</v>
      </c>
      <c r="D20" s="39" t="s">
        <v>353</v>
      </c>
    </row>
    <row r="21" spans="1:4" ht="15" customHeight="1" x14ac:dyDescent="0.45">
      <c r="A21" s="38" t="s">
        <v>350</v>
      </c>
      <c r="B21" s="38" t="s">
        <v>354</v>
      </c>
      <c r="C21" s="38" t="s">
        <v>346</v>
      </c>
      <c r="D21" s="38" t="s">
        <v>355</v>
      </c>
    </row>
    <row r="22" spans="1:4" ht="15" customHeight="1" x14ac:dyDescent="0.45">
      <c r="A22" s="39" t="s">
        <v>356</v>
      </c>
      <c r="B22" s="39" t="s">
        <v>57</v>
      </c>
      <c r="C22" s="39" t="s">
        <v>344</v>
      </c>
      <c r="D22" s="39" t="s">
        <v>357</v>
      </c>
    </row>
    <row r="23" spans="1:4" ht="15" customHeight="1" x14ac:dyDescent="0.45">
      <c r="A23" s="38" t="s">
        <v>356</v>
      </c>
      <c r="B23" s="38" t="s">
        <v>60</v>
      </c>
      <c r="C23" s="38" t="s">
        <v>352</v>
      </c>
      <c r="D23" s="38" t="s">
        <v>358</v>
      </c>
    </row>
    <row r="24" spans="1:4" ht="15" customHeight="1" x14ac:dyDescent="0.45">
      <c r="A24" s="39" t="s">
        <v>356</v>
      </c>
      <c r="B24" s="39" t="s">
        <v>354</v>
      </c>
      <c r="C24" s="39" t="s">
        <v>346</v>
      </c>
      <c r="D24" s="39" t="s">
        <v>359</v>
      </c>
    </row>
    <row r="25" spans="1:4" ht="15" customHeight="1" x14ac:dyDescent="0.45">
      <c r="A25" s="38" t="s">
        <v>360</v>
      </c>
      <c r="B25" s="38" t="s">
        <v>361</v>
      </c>
      <c r="C25" s="38" t="s">
        <v>344</v>
      </c>
      <c r="D25" s="38" t="s">
        <v>362</v>
      </c>
    </row>
    <row r="26" spans="1:4" ht="15" customHeight="1" x14ac:dyDescent="0.45">
      <c r="A26" s="39" t="s">
        <v>360</v>
      </c>
      <c r="B26" s="39" t="s">
        <v>363</v>
      </c>
      <c r="C26" s="39" t="s">
        <v>352</v>
      </c>
      <c r="D26" s="39" t="s">
        <v>364</v>
      </c>
    </row>
    <row r="27" spans="1:4" ht="15" customHeight="1" x14ac:dyDescent="0.45">
      <c r="A27" s="38" t="s">
        <v>360</v>
      </c>
      <c r="B27" s="38" t="s">
        <v>365</v>
      </c>
      <c r="C27" s="38" t="s">
        <v>366</v>
      </c>
      <c r="D27" s="38" t="s">
        <v>367</v>
      </c>
    </row>
    <row r="28" spans="1:4" ht="15" customHeight="1" x14ac:dyDescent="0.45">
      <c r="A28" s="39" t="s">
        <v>360</v>
      </c>
      <c r="B28" s="39" t="s">
        <v>83</v>
      </c>
      <c r="C28" s="39" t="s">
        <v>346</v>
      </c>
      <c r="D28" s="39" t="s">
        <v>349</v>
      </c>
    </row>
    <row r="30" spans="1:4" ht="16.05" customHeight="1" x14ac:dyDescent="0.45">
      <c r="A30" s="82" t="s">
        <v>368</v>
      </c>
      <c r="B30" s="71"/>
      <c r="C30" s="71"/>
      <c r="D30" s="71"/>
    </row>
    <row r="31" spans="1:4" ht="15" customHeight="1" x14ac:dyDescent="0.45">
      <c r="A31" s="37" t="s">
        <v>336</v>
      </c>
      <c r="B31" s="37" t="s">
        <v>369</v>
      </c>
      <c r="C31" s="37" t="s">
        <v>338</v>
      </c>
      <c r="D31" s="37" t="s">
        <v>339</v>
      </c>
    </row>
    <row r="32" spans="1:4" ht="15" customHeight="1" x14ac:dyDescent="0.45">
      <c r="A32" s="40" t="s">
        <v>370</v>
      </c>
      <c r="B32" s="40" t="s">
        <v>371</v>
      </c>
      <c r="C32" s="40" t="s">
        <v>372</v>
      </c>
      <c r="D32" s="40" t="s">
        <v>373</v>
      </c>
    </row>
    <row r="33" spans="1:4" ht="15" customHeight="1" x14ac:dyDescent="0.45">
      <c r="A33" s="38" t="s">
        <v>370</v>
      </c>
      <c r="B33" s="38" t="s">
        <v>374</v>
      </c>
      <c r="C33" s="38" t="s">
        <v>375</v>
      </c>
      <c r="D33" s="38" t="s">
        <v>376</v>
      </c>
    </row>
    <row r="34" spans="1:4" ht="15" customHeight="1" x14ac:dyDescent="0.45">
      <c r="A34" s="40" t="s">
        <v>370</v>
      </c>
      <c r="B34" s="40" t="s">
        <v>377</v>
      </c>
      <c r="C34" s="40" t="s">
        <v>344</v>
      </c>
      <c r="D34" s="40" t="s">
        <v>378</v>
      </c>
    </row>
    <row r="35" spans="1:4" ht="15" customHeight="1" x14ac:dyDescent="0.45">
      <c r="A35" s="38" t="s">
        <v>370</v>
      </c>
      <c r="B35" s="38" t="s">
        <v>379</v>
      </c>
      <c r="C35" s="38" t="s">
        <v>352</v>
      </c>
      <c r="D35" s="38" t="s">
        <v>380</v>
      </c>
    </row>
    <row r="36" spans="1:4" ht="15" customHeight="1" x14ac:dyDescent="0.45">
      <c r="A36" s="40" t="s">
        <v>370</v>
      </c>
      <c r="B36" s="40" t="s">
        <v>381</v>
      </c>
      <c r="C36" s="40" t="s">
        <v>366</v>
      </c>
      <c r="D36" s="40" t="s">
        <v>382</v>
      </c>
    </row>
    <row r="37" spans="1:4" ht="15" customHeight="1" x14ac:dyDescent="0.45">
      <c r="A37" s="38" t="s">
        <v>383</v>
      </c>
      <c r="B37" s="38" t="s">
        <v>384</v>
      </c>
      <c r="C37" s="38" t="s">
        <v>344</v>
      </c>
      <c r="D37" s="38" t="s">
        <v>385</v>
      </c>
    </row>
    <row r="38" spans="1:4" ht="15" customHeight="1" x14ac:dyDescent="0.45">
      <c r="A38" s="40" t="s">
        <v>383</v>
      </c>
      <c r="B38" s="40" t="s">
        <v>386</v>
      </c>
      <c r="C38" s="40" t="s">
        <v>387</v>
      </c>
      <c r="D38" s="40" t="s">
        <v>388</v>
      </c>
    </row>
    <row r="39" spans="1:4" ht="15" customHeight="1" x14ac:dyDescent="0.45">
      <c r="A39" s="38" t="s">
        <v>383</v>
      </c>
      <c r="B39" s="38" t="s">
        <v>389</v>
      </c>
      <c r="C39" s="38" t="s">
        <v>352</v>
      </c>
      <c r="D39" s="38" t="s">
        <v>390</v>
      </c>
    </row>
    <row r="40" spans="1:4" ht="15" customHeight="1" x14ac:dyDescent="0.45">
      <c r="A40" s="40" t="s">
        <v>383</v>
      </c>
      <c r="B40" s="40" t="s">
        <v>391</v>
      </c>
      <c r="C40" s="40" t="s">
        <v>366</v>
      </c>
      <c r="D40" s="40" t="s">
        <v>392</v>
      </c>
    </row>
    <row r="41" spans="1:4" ht="15" customHeight="1" x14ac:dyDescent="0.45">
      <c r="A41" s="38" t="s">
        <v>393</v>
      </c>
      <c r="B41" s="38" t="s">
        <v>68</v>
      </c>
      <c r="C41" s="38" t="s">
        <v>344</v>
      </c>
      <c r="D41" s="38" t="s">
        <v>394</v>
      </c>
    </row>
    <row r="42" spans="1:4" ht="15" customHeight="1" x14ac:dyDescent="0.45">
      <c r="A42" s="40" t="s">
        <v>393</v>
      </c>
      <c r="B42" s="40" t="s">
        <v>395</v>
      </c>
      <c r="C42" s="40" t="s">
        <v>387</v>
      </c>
      <c r="D42" s="40" t="s">
        <v>396</v>
      </c>
    </row>
    <row r="43" spans="1:4" ht="15" customHeight="1" x14ac:dyDescent="0.45">
      <c r="A43" s="38" t="s">
        <v>393</v>
      </c>
      <c r="B43" s="38" t="s">
        <v>397</v>
      </c>
      <c r="C43" s="38" t="s">
        <v>366</v>
      </c>
      <c r="D43" s="38" t="s">
        <v>398</v>
      </c>
    </row>
    <row r="44" spans="1:4" ht="15" customHeight="1" x14ac:dyDescent="0.45">
      <c r="A44" s="40" t="s">
        <v>399</v>
      </c>
      <c r="B44" s="40" t="s">
        <v>400</v>
      </c>
      <c r="C44" s="40" t="s">
        <v>372</v>
      </c>
      <c r="D44" s="40" t="s">
        <v>401</v>
      </c>
    </row>
    <row r="45" spans="1:4" ht="15" customHeight="1" x14ac:dyDescent="0.45">
      <c r="A45" s="38" t="s">
        <v>399</v>
      </c>
      <c r="B45" s="38" t="s">
        <v>402</v>
      </c>
      <c r="C45" s="38" t="s">
        <v>344</v>
      </c>
      <c r="D45" s="38" t="s">
        <v>403</v>
      </c>
    </row>
    <row r="46" spans="1:4" ht="15" customHeight="1" x14ac:dyDescent="0.45">
      <c r="A46" s="40" t="s">
        <v>399</v>
      </c>
      <c r="B46" s="40" t="s">
        <v>404</v>
      </c>
      <c r="C46" s="40" t="s">
        <v>352</v>
      </c>
      <c r="D46" s="40" t="s">
        <v>390</v>
      </c>
    </row>
    <row r="47" spans="1:4" ht="15" customHeight="1" x14ac:dyDescent="0.45">
      <c r="A47" s="38" t="s">
        <v>399</v>
      </c>
      <c r="B47" s="38" t="s">
        <v>405</v>
      </c>
      <c r="C47" s="38" t="s">
        <v>366</v>
      </c>
      <c r="D47" s="38" t="s">
        <v>406</v>
      </c>
    </row>
    <row r="49" spans="1:4" ht="16.05" customHeight="1" x14ac:dyDescent="0.45">
      <c r="A49" s="84" t="s">
        <v>407</v>
      </c>
      <c r="B49" s="71"/>
      <c r="C49" s="71"/>
      <c r="D49" s="71"/>
    </row>
    <row r="50" spans="1:4" ht="15" customHeight="1" x14ac:dyDescent="0.45">
      <c r="A50" s="37" t="s">
        <v>336</v>
      </c>
      <c r="B50" s="37" t="s">
        <v>337</v>
      </c>
      <c r="C50" s="37" t="s">
        <v>338</v>
      </c>
      <c r="D50" s="37" t="s">
        <v>339</v>
      </c>
    </row>
    <row r="51" spans="1:4" ht="15" customHeight="1" x14ac:dyDescent="0.45">
      <c r="A51" s="38" t="s">
        <v>408</v>
      </c>
      <c r="B51" s="38" t="s">
        <v>409</v>
      </c>
      <c r="C51" s="38" t="s">
        <v>410</v>
      </c>
      <c r="D51" s="38" t="s">
        <v>411</v>
      </c>
    </row>
    <row r="52" spans="1:4" ht="15" customHeight="1" x14ac:dyDescent="0.45">
      <c r="A52" s="41" t="s">
        <v>412</v>
      </c>
      <c r="B52" s="41" t="s">
        <v>413</v>
      </c>
      <c r="C52" s="41" t="s">
        <v>414</v>
      </c>
      <c r="D52" s="41" t="s">
        <v>415</v>
      </c>
    </row>
    <row r="53" spans="1:4" ht="15" customHeight="1" x14ac:dyDescent="0.45">
      <c r="A53" s="38" t="s">
        <v>416</v>
      </c>
      <c r="B53" s="38" t="s">
        <v>417</v>
      </c>
      <c r="C53" s="38" t="s">
        <v>418</v>
      </c>
      <c r="D53" s="38" t="s">
        <v>419</v>
      </c>
    </row>
    <row r="54" spans="1:4" ht="15" customHeight="1" x14ac:dyDescent="0.45">
      <c r="A54" s="41" t="s">
        <v>416</v>
      </c>
      <c r="B54" s="41" t="s">
        <v>420</v>
      </c>
      <c r="C54" s="41" t="s">
        <v>421</v>
      </c>
      <c r="D54" s="41" t="s">
        <v>422</v>
      </c>
    </row>
    <row r="56" spans="1:4" ht="16.05" customHeight="1" x14ac:dyDescent="0.45">
      <c r="A56" s="80" t="s">
        <v>423</v>
      </c>
      <c r="B56" s="71"/>
      <c r="C56" s="71"/>
      <c r="D56" s="71"/>
    </row>
    <row r="57" spans="1:4" ht="15" customHeight="1" x14ac:dyDescent="0.45">
      <c r="A57" s="37" t="s">
        <v>336</v>
      </c>
      <c r="B57" s="37" t="s">
        <v>424</v>
      </c>
      <c r="C57" s="37" t="s">
        <v>338</v>
      </c>
      <c r="D57" s="37" t="s">
        <v>339</v>
      </c>
    </row>
    <row r="58" spans="1:4" ht="15" customHeight="1" x14ac:dyDescent="0.45">
      <c r="A58" s="42" t="s">
        <v>425</v>
      </c>
      <c r="B58" s="42" t="s">
        <v>426</v>
      </c>
      <c r="C58" s="42" t="s">
        <v>310</v>
      </c>
      <c r="D58" s="42" t="s">
        <v>427</v>
      </c>
    </row>
    <row r="59" spans="1:4" ht="15" customHeight="1" x14ac:dyDescent="0.45">
      <c r="A59" s="38" t="s">
        <v>428</v>
      </c>
      <c r="B59" s="38" t="s">
        <v>429</v>
      </c>
      <c r="C59" s="38" t="s">
        <v>430</v>
      </c>
      <c r="D59" s="38" t="s">
        <v>431</v>
      </c>
    </row>
    <row r="60" spans="1:4" ht="15" customHeight="1" x14ac:dyDescent="0.45">
      <c r="A60" s="42" t="s">
        <v>432</v>
      </c>
      <c r="B60" s="42" t="s">
        <v>433</v>
      </c>
      <c r="C60" s="42" t="s">
        <v>310</v>
      </c>
      <c r="D60" s="42" t="s">
        <v>434</v>
      </c>
    </row>
    <row r="62" spans="1:4" ht="20" customHeight="1" x14ac:dyDescent="0.45">
      <c r="A62" s="81" t="s">
        <v>435</v>
      </c>
      <c r="B62" s="71"/>
      <c r="C62" s="71"/>
      <c r="D62" s="71"/>
    </row>
    <row r="63" spans="1:4" ht="20" customHeight="1" x14ac:dyDescent="0.45">
      <c r="A63" s="37" t="s">
        <v>436</v>
      </c>
      <c r="B63" s="37" t="s">
        <v>437</v>
      </c>
      <c r="C63" s="37" t="s">
        <v>438</v>
      </c>
    </row>
    <row r="64" spans="1:4" ht="20" customHeight="1" x14ac:dyDescent="0.45">
      <c r="A64" s="43" t="s">
        <v>439</v>
      </c>
      <c r="B64" s="43" t="s">
        <v>440</v>
      </c>
      <c r="C64" s="43" t="s">
        <v>441</v>
      </c>
    </row>
    <row r="65" spans="1:3" ht="20" customHeight="1" x14ac:dyDescent="0.45">
      <c r="A65" s="38" t="s">
        <v>442</v>
      </c>
      <c r="B65" s="38" t="s">
        <v>443</v>
      </c>
      <c r="C65" s="38" t="s">
        <v>444</v>
      </c>
    </row>
    <row r="66" spans="1:3" ht="20" customHeight="1" x14ac:dyDescent="0.45">
      <c r="A66" s="43" t="s">
        <v>445</v>
      </c>
      <c r="B66" s="43" t="s">
        <v>446</v>
      </c>
      <c r="C66" s="43" t="s">
        <v>447</v>
      </c>
    </row>
    <row r="67" spans="1:3" ht="20" customHeight="1" x14ac:dyDescent="0.45">
      <c r="A67" s="38" t="s">
        <v>448</v>
      </c>
      <c r="B67" s="38" t="s">
        <v>449</v>
      </c>
      <c r="C67" s="38" t="s">
        <v>450</v>
      </c>
    </row>
    <row r="68" spans="1:3" ht="20" customHeight="1" x14ac:dyDescent="0.45">
      <c r="A68" s="43" t="s">
        <v>451</v>
      </c>
      <c r="B68" s="43" t="s">
        <v>452</v>
      </c>
      <c r="C68" s="43" t="s">
        <v>453</v>
      </c>
    </row>
    <row r="69" spans="1:3" ht="20" customHeight="1" x14ac:dyDescent="0.45">
      <c r="A69" s="38" t="s">
        <v>454</v>
      </c>
      <c r="B69" s="38" t="s">
        <v>455</v>
      </c>
      <c r="C69" s="38" t="s">
        <v>456</v>
      </c>
    </row>
    <row r="70" spans="1:3" ht="20" customHeight="1" x14ac:dyDescent="0.45">
      <c r="A70" s="43" t="s">
        <v>457</v>
      </c>
      <c r="B70" s="43" t="s">
        <v>458</v>
      </c>
      <c r="C70" s="43" t="s">
        <v>459</v>
      </c>
    </row>
    <row r="71" spans="1:3" ht="20" customHeight="1" x14ac:dyDescent="0.45">
      <c r="A71" s="38" t="s">
        <v>460</v>
      </c>
      <c r="B71" s="38" t="s">
        <v>461</v>
      </c>
      <c r="C71" s="38" t="s">
        <v>462</v>
      </c>
    </row>
  </sheetData>
  <mergeCells count="9">
    <mergeCell ref="A1:D1"/>
    <mergeCell ref="A56:D56"/>
    <mergeCell ref="A12:D12"/>
    <mergeCell ref="A4:D4"/>
    <mergeCell ref="A62:D62"/>
    <mergeCell ref="A30:D30"/>
    <mergeCell ref="A2:D2"/>
    <mergeCell ref="A49:D49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pane ySplit="2" topLeftCell="A18" activePane="bottomLeft" state="frozen"/>
      <selection pane="bottomLeft" sqref="A1:G1"/>
    </sheetView>
  </sheetViews>
  <sheetFormatPr defaultRowHeight="14.25" x14ac:dyDescent="0.45"/>
  <cols>
    <col min="1" max="1" width="22" customWidth="1"/>
    <col min="2" max="3" width="35" customWidth="1"/>
    <col min="4" max="4" width="30" customWidth="1"/>
    <col min="5" max="7" width="25" customWidth="1"/>
  </cols>
  <sheetData>
    <row r="1" spans="1:7" ht="35" customHeight="1" x14ac:dyDescent="0.45">
      <c r="A1" s="73" t="s">
        <v>463</v>
      </c>
      <c r="B1" s="71"/>
      <c r="C1" s="71"/>
      <c r="D1" s="71"/>
      <c r="E1" s="71"/>
      <c r="F1" s="71"/>
      <c r="G1" s="71"/>
    </row>
    <row r="2" spans="1:7" ht="14" customHeight="1" x14ac:dyDescent="0.45">
      <c r="A2" s="83" t="s">
        <v>464</v>
      </c>
      <c r="B2" s="71"/>
      <c r="C2" s="71"/>
      <c r="D2" s="71"/>
      <c r="E2" s="71"/>
      <c r="F2" s="71"/>
      <c r="G2" s="71"/>
    </row>
    <row r="4" spans="1:7" ht="20" customHeight="1" x14ac:dyDescent="0.45">
      <c r="A4" s="81" t="s">
        <v>465</v>
      </c>
      <c r="B4" s="71"/>
      <c r="C4" s="71"/>
      <c r="D4" s="71"/>
      <c r="E4" s="71"/>
      <c r="F4" s="71"/>
      <c r="G4" s="71"/>
    </row>
    <row r="5" spans="1:7" ht="40.049999999999997" customHeight="1" x14ac:dyDescent="0.45">
      <c r="A5" s="44" t="s">
        <v>466</v>
      </c>
      <c r="B5" s="44" t="s">
        <v>318</v>
      </c>
      <c r="C5" s="44" t="s">
        <v>467</v>
      </c>
      <c r="D5" s="44" t="s">
        <v>468</v>
      </c>
      <c r="E5" s="44" t="s">
        <v>469</v>
      </c>
      <c r="F5" s="44" t="s">
        <v>470</v>
      </c>
      <c r="G5" s="44" t="s">
        <v>471</v>
      </c>
    </row>
    <row r="6" spans="1:7" ht="80" customHeight="1" x14ac:dyDescent="0.45">
      <c r="A6" s="45" t="s">
        <v>472</v>
      </c>
      <c r="B6" s="46" t="s">
        <v>473</v>
      </c>
      <c r="C6" s="46" t="s">
        <v>474</v>
      </c>
      <c r="D6" s="46" t="s">
        <v>475</v>
      </c>
      <c r="E6" s="46" t="s">
        <v>476</v>
      </c>
      <c r="F6" s="46" t="s">
        <v>477</v>
      </c>
      <c r="G6" s="46" t="s">
        <v>478</v>
      </c>
    </row>
    <row r="7" spans="1:7" ht="80" customHeight="1" x14ac:dyDescent="0.45">
      <c r="A7" s="47" t="s">
        <v>479</v>
      </c>
      <c r="B7" s="48" t="s">
        <v>480</v>
      </c>
      <c r="C7" s="48" t="s">
        <v>481</v>
      </c>
      <c r="D7" s="48" t="s">
        <v>482</v>
      </c>
      <c r="E7" s="48" t="s">
        <v>483</v>
      </c>
      <c r="F7" s="48" t="s">
        <v>484</v>
      </c>
      <c r="G7" s="48" t="s">
        <v>485</v>
      </c>
    </row>
    <row r="8" spans="1:7" ht="80" customHeight="1" x14ac:dyDescent="0.45">
      <c r="A8" s="49" t="s">
        <v>486</v>
      </c>
      <c r="B8" s="50" t="s">
        <v>487</v>
      </c>
      <c r="C8" s="50" t="s">
        <v>488</v>
      </c>
      <c r="D8" s="50" t="s">
        <v>489</v>
      </c>
      <c r="E8" s="50" t="s">
        <v>490</v>
      </c>
      <c r="F8" s="50" t="s">
        <v>491</v>
      </c>
      <c r="G8" s="50" t="s">
        <v>492</v>
      </c>
    </row>
    <row r="9" spans="1:7" ht="80" customHeight="1" x14ac:dyDescent="0.45">
      <c r="A9" s="51" t="s">
        <v>493</v>
      </c>
      <c r="B9" s="52" t="s">
        <v>494</v>
      </c>
      <c r="C9" s="52" t="s">
        <v>495</v>
      </c>
      <c r="D9" s="52" t="s">
        <v>496</v>
      </c>
      <c r="E9" s="52" t="s">
        <v>497</v>
      </c>
      <c r="F9" s="52" t="s">
        <v>498</v>
      </c>
      <c r="G9" s="52" t="s">
        <v>499</v>
      </c>
    </row>
    <row r="11" spans="1:7" ht="20" customHeight="1" x14ac:dyDescent="0.45">
      <c r="A11" s="81" t="s">
        <v>500</v>
      </c>
      <c r="B11" s="71"/>
      <c r="C11" s="71"/>
      <c r="D11" s="71"/>
      <c r="E11" s="71"/>
      <c r="F11" s="71"/>
      <c r="G11" s="71"/>
    </row>
    <row r="12" spans="1:7" ht="35" customHeight="1" x14ac:dyDescent="0.45">
      <c r="A12" s="44" t="s">
        <v>501</v>
      </c>
      <c r="B12" s="44" t="s">
        <v>502</v>
      </c>
      <c r="C12" s="44" t="s">
        <v>503</v>
      </c>
      <c r="D12" s="44" t="s">
        <v>504</v>
      </c>
      <c r="E12" s="44" t="s">
        <v>469</v>
      </c>
      <c r="F12" s="44" t="s">
        <v>466</v>
      </c>
      <c r="G12" s="44" t="s">
        <v>505</v>
      </c>
    </row>
    <row r="13" spans="1:7" ht="55.05" customHeight="1" x14ac:dyDescent="0.45">
      <c r="A13" s="46" t="s">
        <v>506</v>
      </c>
      <c r="B13" s="46" t="s">
        <v>507</v>
      </c>
      <c r="C13" s="46" t="s">
        <v>508</v>
      </c>
      <c r="D13" s="46" t="s">
        <v>509</v>
      </c>
      <c r="E13" s="46" t="s">
        <v>510</v>
      </c>
      <c r="F13" s="46" t="s">
        <v>511</v>
      </c>
      <c r="G13" s="45" t="s">
        <v>512</v>
      </c>
    </row>
    <row r="14" spans="1:7" ht="55.05" customHeight="1" x14ac:dyDescent="0.45">
      <c r="A14" s="48" t="s">
        <v>513</v>
      </c>
      <c r="B14" s="48" t="s">
        <v>514</v>
      </c>
      <c r="C14" s="48" t="s">
        <v>515</v>
      </c>
      <c r="D14" s="48" t="s">
        <v>516</v>
      </c>
      <c r="E14" s="48" t="s">
        <v>517</v>
      </c>
      <c r="F14" s="48" t="s">
        <v>518</v>
      </c>
      <c r="G14" s="47" t="s">
        <v>512</v>
      </c>
    </row>
    <row r="15" spans="1:7" ht="55.05" customHeight="1" x14ac:dyDescent="0.45">
      <c r="A15" s="50" t="s">
        <v>519</v>
      </c>
      <c r="B15" s="50" t="s">
        <v>520</v>
      </c>
      <c r="C15" s="50" t="s">
        <v>521</v>
      </c>
      <c r="D15" s="50" t="s">
        <v>522</v>
      </c>
      <c r="E15" s="50" t="s">
        <v>510</v>
      </c>
      <c r="F15" s="50" t="s">
        <v>523</v>
      </c>
      <c r="G15" s="49" t="s">
        <v>512</v>
      </c>
    </row>
    <row r="16" spans="1:7" ht="55.05" customHeight="1" x14ac:dyDescent="0.45">
      <c r="A16" s="52" t="s">
        <v>524</v>
      </c>
      <c r="B16" s="52" t="s">
        <v>525</v>
      </c>
      <c r="C16" s="52" t="s">
        <v>526</v>
      </c>
      <c r="D16" s="52" t="s">
        <v>527</v>
      </c>
      <c r="E16" s="52" t="s">
        <v>528</v>
      </c>
      <c r="F16" s="52" t="s">
        <v>511</v>
      </c>
      <c r="G16" s="51" t="s">
        <v>512</v>
      </c>
    </row>
    <row r="17" spans="1:7" ht="55.05" customHeight="1" x14ac:dyDescent="0.45">
      <c r="A17" s="53" t="s">
        <v>529</v>
      </c>
      <c r="B17" s="53" t="s">
        <v>530</v>
      </c>
      <c r="C17" s="53" t="s">
        <v>531</v>
      </c>
      <c r="D17" s="53" t="s">
        <v>532</v>
      </c>
      <c r="E17" s="53" t="s">
        <v>533</v>
      </c>
      <c r="F17" s="53" t="s">
        <v>534</v>
      </c>
      <c r="G17" s="54" t="s">
        <v>535</v>
      </c>
    </row>
    <row r="18" spans="1:7" ht="55.05" customHeight="1" x14ac:dyDescent="0.45">
      <c r="A18" s="46" t="s">
        <v>536</v>
      </c>
      <c r="B18" s="46" t="s">
        <v>537</v>
      </c>
      <c r="C18" s="46" t="s">
        <v>538</v>
      </c>
      <c r="D18" s="46" t="s">
        <v>539</v>
      </c>
      <c r="E18" s="46" t="s">
        <v>517</v>
      </c>
      <c r="F18" s="46" t="s">
        <v>540</v>
      </c>
      <c r="G18" s="45" t="s">
        <v>535</v>
      </c>
    </row>
    <row r="19" spans="1:7" ht="55.05" customHeight="1" x14ac:dyDescent="0.45">
      <c r="A19" s="48" t="s">
        <v>541</v>
      </c>
      <c r="B19" s="48" t="s">
        <v>542</v>
      </c>
      <c r="C19" s="48" t="s">
        <v>543</v>
      </c>
      <c r="D19" s="48" t="s">
        <v>544</v>
      </c>
      <c r="E19" s="48" t="s">
        <v>545</v>
      </c>
      <c r="F19" s="48" t="s">
        <v>546</v>
      </c>
      <c r="G19" s="47" t="s">
        <v>547</v>
      </c>
    </row>
    <row r="21" spans="1:7" ht="20" customHeight="1" x14ac:dyDescent="0.45">
      <c r="A21" s="81" t="s">
        <v>548</v>
      </c>
      <c r="B21" s="71"/>
      <c r="C21" s="71"/>
      <c r="D21" s="71"/>
      <c r="E21" s="71"/>
      <c r="F21" s="71"/>
      <c r="G21" s="71"/>
    </row>
    <row r="22" spans="1:7" ht="35" customHeight="1" x14ac:dyDescent="0.45">
      <c r="A22" s="44" t="s">
        <v>549</v>
      </c>
      <c r="B22" s="44" t="s">
        <v>550</v>
      </c>
      <c r="C22" s="44" t="s">
        <v>551</v>
      </c>
      <c r="D22" s="44" t="s">
        <v>552</v>
      </c>
      <c r="E22" s="44" t="s">
        <v>553</v>
      </c>
      <c r="F22" s="44" t="s">
        <v>554</v>
      </c>
      <c r="G22" s="44" t="s">
        <v>555</v>
      </c>
    </row>
    <row r="23" spans="1:7" ht="65" customHeight="1" x14ac:dyDescent="0.45">
      <c r="A23" s="45" t="s">
        <v>556</v>
      </c>
      <c r="B23" s="46" t="s">
        <v>557</v>
      </c>
      <c r="C23" s="46" t="s">
        <v>558</v>
      </c>
      <c r="D23" s="46" t="s">
        <v>559</v>
      </c>
      <c r="E23" s="46" t="s">
        <v>560</v>
      </c>
      <c r="F23" s="46" t="s">
        <v>561</v>
      </c>
      <c r="G23" s="46" t="s">
        <v>562</v>
      </c>
    </row>
    <row r="24" spans="1:7" ht="65" customHeight="1" x14ac:dyDescent="0.45">
      <c r="A24" s="47" t="s">
        <v>563</v>
      </c>
      <c r="B24" s="48" t="s">
        <v>564</v>
      </c>
      <c r="C24" s="48" t="s">
        <v>565</v>
      </c>
      <c r="D24" s="48" t="s">
        <v>566</v>
      </c>
      <c r="E24" s="48" t="s">
        <v>567</v>
      </c>
      <c r="F24" s="48" t="s">
        <v>561</v>
      </c>
      <c r="G24" s="48" t="s">
        <v>568</v>
      </c>
    </row>
    <row r="25" spans="1:7" ht="65" customHeight="1" x14ac:dyDescent="0.45">
      <c r="A25" s="49" t="s">
        <v>569</v>
      </c>
      <c r="B25" s="50" t="s">
        <v>570</v>
      </c>
      <c r="C25" s="50" t="s">
        <v>571</v>
      </c>
      <c r="D25" s="50" t="s">
        <v>572</v>
      </c>
      <c r="E25" s="50" t="s">
        <v>573</v>
      </c>
      <c r="F25" s="50" t="s">
        <v>561</v>
      </c>
      <c r="G25" s="50" t="s">
        <v>574</v>
      </c>
    </row>
    <row r="26" spans="1:7" ht="65" customHeight="1" x14ac:dyDescent="0.45">
      <c r="A26" s="51" t="s">
        <v>575</v>
      </c>
      <c r="B26" s="52" t="s">
        <v>576</v>
      </c>
      <c r="C26" s="52" t="s">
        <v>577</v>
      </c>
      <c r="D26" s="52" t="s">
        <v>578</v>
      </c>
      <c r="E26" s="52" t="s">
        <v>579</v>
      </c>
      <c r="F26" s="52" t="s">
        <v>580</v>
      </c>
      <c r="G26" s="52" t="s">
        <v>581</v>
      </c>
    </row>
    <row r="27" spans="1:7" ht="65" customHeight="1" x14ac:dyDescent="0.45">
      <c r="A27" s="54" t="s">
        <v>582</v>
      </c>
      <c r="B27" s="53" t="s">
        <v>583</v>
      </c>
      <c r="C27" s="53" t="s">
        <v>584</v>
      </c>
      <c r="D27" s="53" t="s">
        <v>585</v>
      </c>
      <c r="E27" s="53" t="s">
        <v>567</v>
      </c>
      <c r="F27" s="53" t="s">
        <v>580</v>
      </c>
      <c r="G27" s="53" t="s">
        <v>586</v>
      </c>
    </row>
    <row r="28" spans="1:7" ht="65" customHeight="1" x14ac:dyDescent="0.45">
      <c r="A28" s="45" t="s">
        <v>587</v>
      </c>
      <c r="B28" s="46" t="s">
        <v>588</v>
      </c>
      <c r="C28" s="46" t="s">
        <v>589</v>
      </c>
      <c r="D28" s="46" t="s">
        <v>590</v>
      </c>
      <c r="E28" s="46" t="s">
        <v>591</v>
      </c>
      <c r="F28" s="46" t="s">
        <v>580</v>
      </c>
      <c r="G28" s="46" t="s">
        <v>592</v>
      </c>
    </row>
    <row r="29" spans="1:7" ht="65" customHeight="1" x14ac:dyDescent="0.45">
      <c r="A29" s="47" t="s">
        <v>593</v>
      </c>
      <c r="B29" s="48" t="s">
        <v>594</v>
      </c>
      <c r="C29" s="48" t="s">
        <v>595</v>
      </c>
      <c r="D29" s="48" t="s">
        <v>596</v>
      </c>
      <c r="E29" s="48" t="s">
        <v>591</v>
      </c>
      <c r="F29" s="48" t="s">
        <v>597</v>
      </c>
      <c r="G29" s="48" t="s">
        <v>598</v>
      </c>
    </row>
  </sheetData>
  <mergeCells count="5">
    <mergeCell ref="A1:G1"/>
    <mergeCell ref="A21:G21"/>
    <mergeCell ref="A4:G4"/>
    <mergeCell ref="A2:G2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workbookViewId="0">
      <pane ySplit="2" topLeftCell="A3" activePane="bottomLeft" state="frozen"/>
      <selection pane="bottomLeft" sqref="A1:D1"/>
    </sheetView>
  </sheetViews>
  <sheetFormatPr defaultRowHeight="14.25" x14ac:dyDescent="0.45"/>
  <cols>
    <col min="1" max="1" width="22" customWidth="1"/>
    <col min="2" max="2" width="55" customWidth="1"/>
    <col min="3" max="3" width="40" customWidth="1"/>
    <col min="4" max="4" width="30" customWidth="1"/>
  </cols>
  <sheetData>
    <row r="1" spans="1:4" ht="35" customHeight="1" x14ac:dyDescent="0.45">
      <c r="A1" s="73" t="s">
        <v>599</v>
      </c>
      <c r="B1" s="71"/>
      <c r="C1" s="71"/>
      <c r="D1" s="71"/>
    </row>
    <row r="3" spans="1:4" ht="20" customHeight="1" x14ac:dyDescent="0.45">
      <c r="A3" s="81" t="s">
        <v>600</v>
      </c>
      <c r="B3" s="71"/>
      <c r="C3" s="71"/>
      <c r="D3" s="71"/>
    </row>
    <row r="4" spans="1:4" ht="65" customHeight="1" x14ac:dyDescent="0.45">
      <c r="A4" s="55" t="s">
        <v>601</v>
      </c>
      <c r="B4" s="46" t="s">
        <v>602</v>
      </c>
      <c r="C4" s="56" t="s">
        <v>603</v>
      </c>
      <c r="D4" s="57"/>
    </row>
    <row r="5" spans="1:4" ht="65" customHeight="1" x14ac:dyDescent="0.45">
      <c r="A5" s="58" t="s">
        <v>604</v>
      </c>
      <c r="B5" s="11" t="s">
        <v>605</v>
      </c>
      <c r="C5" s="59" t="s">
        <v>606</v>
      </c>
      <c r="D5" s="60"/>
    </row>
    <row r="6" spans="1:4" ht="65" customHeight="1" x14ac:dyDescent="0.45">
      <c r="A6" s="55" t="s">
        <v>607</v>
      </c>
      <c r="B6" s="46" t="s">
        <v>608</v>
      </c>
      <c r="C6" s="56" t="s">
        <v>609</v>
      </c>
      <c r="D6" s="57"/>
    </row>
    <row r="7" spans="1:4" ht="65" customHeight="1" x14ac:dyDescent="0.45">
      <c r="A7" s="58" t="s">
        <v>610</v>
      </c>
      <c r="B7" s="11" t="s">
        <v>611</v>
      </c>
      <c r="C7" s="59" t="s">
        <v>612</v>
      </c>
      <c r="D7" s="60"/>
    </row>
    <row r="8" spans="1:4" ht="65" customHeight="1" x14ac:dyDescent="0.45">
      <c r="A8" s="55" t="s">
        <v>613</v>
      </c>
      <c r="B8" s="46" t="s">
        <v>614</v>
      </c>
      <c r="C8" s="56" t="s">
        <v>615</v>
      </c>
      <c r="D8" s="57"/>
    </row>
    <row r="9" spans="1:4" ht="65" customHeight="1" x14ac:dyDescent="0.45">
      <c r="A9" s="58" t="s">
        <v>616</v>
      </c>
      <c r="B9" s="11" t="s">
        <v>617</v>
      </c>
      <c r="C9" s="59" t="s">
        <v>618</v>
      </c>
      <c r="D9" s="60"/>
    </row>
    <row r="11" spans="1:4" ht="20" customHeight="1" x14ac:dyDescent="0.45">
      <c r="A11" s="81" t="s">
        <v>619</v>
      </c>
      <c r="B11" s="71"/>
      <c r="C11" s="71"/>
      <c r="D11" s="71"/>
    </row>
    <row r="12" spans="1:4" ht="30" customHeight="1" x14ac:dyDescent="0.45">
      <c r="A12" s="44" t="s">
        <v>620</v>
      </c>
      <c r="B12" s="44" t="s">
        <v>621</v>
      </c>
      <c r="C12" s="44" t="s">
        <v>622</v>
      </c>
      <c r="D12" s="44" t="s">
        <v>555</v>
      </c>
    </row>
    <row r="13" spans="1:4" ht="45" customHeight="1" x14ac:dyDescent="0.45">
      <c r="A13" s="58" t="s">
        <v>340</v>
      </c>
      <c r="B13" s="11" t="s">
        <v>623</v>
      </c>
      <c r="C13" s="59" t="s">
        <v>624</v>
      </c>
      <c r="D13" s="61" t="s">
        <v>625</v>
      </c>
    </row>
    <row r="14" spans="1:4" ht="45" customHeight="1" x14ac:dyDescent="0.45">
      <c r="A14" s="55" t="s">
        <v>626</v>
      </c>
      <c r="B14" s="46" t="s">
        <v>627</v>
      </c>
      <c r="C14" s="56" t="s">
        <v>628</v>
      </c>
      <c r="D14" s="62" t="s">
        <v>310</v>
      </c>
    </row>
    <row r="15" spans="1:4" ht="45" customHeight="1" x14ac:dyDescent="0.45">
      <c r="A15" s="58" t="s">
        <v>629</v>
      </c>
      <c r="B15" s="11" t="s">
        <v>630</v>
      </c>
      <c r="C15" s="59" t="s">
        <v>631</v>
      </c>
      <c r="D15" s="61" t="s">
        <v>310</v>
      </c>
    </row>
    <row r="16" spans="1:4" ht="45" customHeight="1" x14ac:dyDescent="0.45">
      <c r="A16" s="55" t="s">
        <v>632</v>
      </c>
      <c r="B16" s="46" t="s">
        <v>633</v>
      </c>
      <c r="C16" s="56" t="s">
        <v>634</v>
      </c>
      <c r="D16" s="62" t="s">
        <v>310</v>
      </c>
    </row>
    <row r="17" spans="1:4" ht="45" customHeight="1" x14ac:dyDescent="0.45">
      <c r="A17" s="58" t="s">
        <v>635</v>
      </c>
      <c r="B17" s="11" t="s">
        <v>636</v>
      </c>
      <c r="C17" s="59" t="s">
        <v>637</v>
      </c>
      <c r="D17" s="61" t="s">
        <v>445</v>
      </c>
    </row>
    <row r="18" spans="1:4" ht="45" customHeight="1" x14ac:dyDescent="0.45">
      <c r="A18" s="55" t="s">
        <v>638</v>
      </c>
      <c r="B18" s="46" t="s">
        <v>639</v>
      </c>
      <c r="C18" s="56" t="s">
        <v>640</v>
      </c>
      <c r="D18" s="62" t="s">
        <v>445</v>
      </c>
    </row>
    <row r="19" spans="1:4" ht="45" customHeight="1" x14ac:dyDescent="0.45">
      <c r="A19" s="58" t="s">
        <v>641</v>
      </c>
      <c r="B19" s="11" t="s">
        <v>642</v>
      </c>
      <c r="C19" s="59" t="s">
        <v>643</v>
      </c>
      <c r="D19" s="61" t="s">
        <v>644</v>
      </c>
    </row>
    <row r="20" spans="1:4" ht="45" customHeight="1" x14ac:dyDescent="0.45">
      <c r="A20" s="55" t="s">
        <v>645</v>
      </c>
      <c r="B20" s="46" t="s">
        <v>646</v>
      </c>
      <c r="C20" s="56" t="s">
        <v>647</v>
      </c>
      <c r="D20" s="62" t="s">
        <v>310</v>
      </c>
    </row>
    <row r="21" spans="1:4" ht="45" customHeight="1" x14ac:dyDescent="0.45">
      <c r="A21" s="58" t="s">
        <v>648</v>
      </c>
      <c r="B21" s="11" t="s">
        <v>649</v>
      </c>
      <c r="C21" s="59" t="s">
        <v>650</v>
      </c>
      <c r="D21" s="61" t="s">
        <v>310</v>
      </c>
    </row>
    <row r="22" spans="1:4" ht="45" customHeight="1" x14ac:dyDescent="0.45">
      <c r="A22" s="55" t="s">
        <v>651</v>
      </c>
      <c r="B22" s="46" t="s">
        <v>652</v>
      </c>
      <c r="C22" s="56" t="s">
        <v>653</v>
      </c>
      <c r="D22" s="62" t="s">
        <v>310</v>
      </c>
    </row>
    <row r="23" spans="1:4" ht="45" customHeight="1" x14ac:dyDescent="0.45">
      <c r="A23" s="58" t="s">
        <v>654</v>
      </c>
      <c r="B23" s="11" t="s">
        <v>655</v>
      </c>
      <c r="C23" s="59" t="s">
        <v>656</v>
      </c>
      <c r="D23" s="61" t="s">
        <v>445</v>
      </c>
    </row>
    <row r="24" spans="1:4" ht="45" customHeight="1" x14ac:dyDescent="0.45">
      <c r="A24" s="55" t="s">
        <v>657</v>
      </c>
      <c r="B24" s="46" t="s">
        <v>658</v>
      </c>
      <c r="C24" s="56" t="s">
        <v>659</v>
      </c>
      <c r="D24" s="62" t="s">
        <v>356</v>
      </c>
    </row>
    <row r="25" spans="1:4" ht="45" customHeight="1" x14ac:dyDescent="0.45">
      <c r="A25" s="58" t="s">
        <v>660</v>
      </c>
      <c r="B25" s="11" t="s">
        <v>661</v>
      </c>
      <c r="C25" s="59" t="s">
        <v>662</v>
      </c>
      <c r="D25" s="61" t="s">
        <v>445</v>
      </c>
    </row>
    <row r="26" spans="1:4" ht="45" customHeight="1" x14ac:dyDescent="0.45">
      <c r="A26" s="55" t="s">
        <v>356</v>
      </c>
      <c r="B26" s="46" t="s">
        <v>663</v>
      </c>
      <c r="C26" s="56" t="s">
        <v>664</v>
      </c>
      <c r="D26" s="62" t="s">
        <v>356</v>
      </c>
    </row>
    <row r="27" spans="1:4" ht="45" customHeight="1" x14ac:dyDescent="0.45">
      <c r="A27" s="58" t="s">
        <v>665</v>
      </c>
      <c r="B27" s="11" t="s">
        <v>666</v>
      </c>
      <c r="C27" s="59" t="s">
        <v>664</v>
      </c>
      <c r="D27" s="61" t="s">
        <v>665</v>
      </c>
    </row>
    <row r="28" spans="1:4" ht="45" customHeight="1" x14ac:dyDescent="0.45">
      <c r="A28" s="55" t="s">
        <v>667</v>
      </c>
      <c r="B28" s="46" t="s">
        <v>668</v>
      </c>
      <c r="C28" s="56" t="s">
        <v>664</v>
      </c>
      <c r="D28" s="62" t="s">
        <v>669</v>
      </c>
    </row>
    <row r="29" spans="1:4" ht="45" customHeight="1" x14ac:dyDescent="0.45">
      <c r="A29" s="58" t="s">
        <v>670</v>
      </c>
      <c r="B29" s="11" t="s">
        <v>671</v>
      </c>
      <c r="C29" s="59" t="s">
        <v>672</v>
      </c>
      <c r="D29" s="61" t="s">
        <v>310</v>
      </c>
    </row>
    <row r="30" spans="1:4" ht="45" customHeight="1" x14ac:dyDescent="0.45">
      <c r="A30" s="55" t="s">
        <v>31</v>
      </c>
      <c r="B30" s="46" t="s">
        <v>673</v>
      </c>
      <c r="C30" s="56" t="s">
        <v>674</v>
      </c>
      <c r="D30" s="62" t="s">
        <v>310</v>
      </c>
    </row>
    <row r="31" spans="1:4" ht="45" customHeight="1" x14ac:dyDescent="0.45">
      <c r="A31" s="58" t="s">
        <v>32</v>
      </c>
      <c r="B31" s="11" t="s">
        <v>675</v>
      </c>
      <c r="C31" s="59" t="s">
        <v>676</v>
      </c>
      <c r="D31" s="61" t="s">
        <v>310</v>
      </c>
    </row>
    <row r="32" spans="1:4" ht="45" customHeight="1" x14ac:dyDescent="0.45">
      <c r="A32" s="55" t="s">
        <v>34</v>
      </c>
      <c r="B32" s="46" t="s">
        <v>677</v>
      </c>
      <c r="C32" s="56" t="s">
        <v>678</v>
      </c>
      <c r="D32" s="62" t="s">
        <v>310</v>
      </c>
    </row>
    <row r="34" spans="1:4" ht="20" customHeight="1" x14ac:dyDescent="0.45">
      <c r="A34" s="81" t="s">
        <v>679</v>
      </c>
      <c r="B34" s="71"/>
      <c r="C34" s="71"/>
      <c r="D34" s="71"/>
    </row>
    <row r="35" spans="1:4" ht="30" customHeight="1" x14ac:dyDescent="0.45">
      <c r="A35" s="44" t="s">
        <v>680</v>
      </c>
      <c r="B35" s="44" t="s">
        <v>681</v>
      </c>
      <c r="C35" s="44" t="s">
        <v>682</v>
      </c>
      <c r="D35" s="44" t="s">
        <v>683</v>
      </c>
    </row>
    <row r="36" spans="1:4" ht="35" customHeight="1" x14ac:dyDescent="0.45">
      <c r="A36" s="63" t="s">
        <v>684</v>
      </c>
      <c r="B36" s="64" t="s">
        <v>685</v>
      </c>
      <c r="C36" s="65" t="s">
        <v>686</v>
      </c>
      <c r="D36" s="39" t="s">
        <v>687</v>
      </c>
    </row>
    <row r="37" spans="1:4" ht="35" customHeight="1" x14ac:dyDescent="0.45">
      <c r="A37" s="66" t="s">
        <v>688</v>
      </c>
      <c r="B37" s="67" t="s">
        <v>689</v>
      </c>
      <c r="C37" s="68" t="s">
        <v>690</v>
      </c>
      <c r="D37" s="69" t="s">
        <v>691</v>
      </c>
    </row>
    <row r="38" spans="1:4" ht="35" customHeight="1" x14ac:dyDescent="0.45">
      <c r="A38" s="63" t="s">
        <v>692</v>
      </c>
      <c r="B38" s="64" t="s">
        <v>693</v>
      </c>
      <c r="C38" s="65" t="s">
        <v>694</v>
      </c>
      <c r="D38" s="39" t="s">
        <v>695</v>
      </c>
    </row>
    <row r="39" spans="1:4" ht="35" customHeight="1" x14ac:dyDescent="0.45">
      <c r="A39" s="66" t="s">
        <v>696</v>
      </c>
      <c r="B39" s="67" t="s">
        <v>697</v>
      </c>
      <c r="C39" s="68" t="s">
        <v>698</v>
      </c>
      <c r="D39" s="69" t="s">
        <v>699</v>
      </c>
    </row>
    <row r="40" spans="1:4" ht="35" customHeight="1" x14ac:dyDescent="0.45">
      <c r="A40" s="63" t="s">
        <v>700</v>
      </c>
      <c r="B40" s="64" t="s">
        <v>701</v>
      </c>
      <c r="C40" s="65" t="s">
        <v>702</v>
      </c>
      <c r="D40" s="39" t="s">
        <v>703</v>
      </c>
    </row>
    <row r="41" spans="1:4" ht="35" customHeight="1" x14ac:dyDescent="0.45">
      <c r="A41" s="66" t="s">
        <v>704</v>
      </c>
      <c r="B41" s="67" t="s">
        <v>705</v>
      </c>
      <c r="C41" s="68" t="s">
        <v>706</v>
      </c>
      <c r="D41" s="69" t="s">
        <v>707</v>
      </c>
    </row>
    <row r="42" spans="1:4" ht="35" customHeight="1" x14ac:dyDescent="0.45">
      <c r="A42" s="63" t="s">
        <v>708</v>
      </c>
      <c r="B42" s="64" t="s">
        <v>709</v>
      </c>
      <c r="C42" s="65" t="s">
        <v>702</v>
      </c>
      <c r="D42" s="39" t="s">
        <v>707</v>
      </c>
    </row>
    <row r="43" spans="1:4" ht="35" customHeight="1" x14ac:dyDescent="0.45">
      <c r="A43" s="66" t="s">
        <v>710</v>
      </c>
      <c r="B43" s="67" t="s">
        <v>711</v>
      </c>
      <c r="C43" s="68" t="s">
        <v>712</v>
      </c>
      <c r="D43" s="69" t="s">
        <v>713</v>
      </c>
    </row>
    <row r="44" spans="1:4" ht="35" customHeight="1" x14ac:dyDescent="0.45">
      <c r="A44" s="63" t="s">
        <v>714</v>
      </c>
      <c r="B44" s="64" t="s">
        <v>715</v>
      </c>
      <c r="C44" s="65" t="s">
        <v>716</v>
      </c>
      <c r="D44" s="39" t="s">
        <v>717</v>
      </c>
    </row>
    <row r="45" spans="1:4" ht="35" customHeight="1" x14ac:dyDescent="0.45">
      <c r="A45" s="66" t="s">
        <v>718</v>
      </c>
      <c r="B45" s="67" t="s">
        <v>719</v>
      </c>
      <c r="C45" s="68" t="s">
        <v>720</v>
      </c>
      <c r="D45" s="69" t="s">
        <v>721</v>
      </c>
    </row>
    <row r="46" spans="1:4" ht="35" customHeight="1" x14ac:dyDescent="0.45">
      <c r="A46" s="63" t="s">
        <v>722</v>
      </c>
      <c r="B46" s="64" t="s">
        <v>723</v>
      </c>
      <c r="C46" s="65" t="s">
        <v>724</v>
      </c>
      <c r="D46" s="39" t="s">
        <v>725</v>
      </c>
    </row>
    <row r="47" spans="1:4" ht="35" customHeight="1" x14ac:dyDescent="0.45">
      <c r="A47" s="66" t="s">
        <v>726</v>
      </c>
      <c r="B47" s="67" t="s">
        <v>727</v>
      </c>
      <c r="C47" s="68" t="s">
        <v>728</v>
      </c>
      <c r="D47" s="69" t="s">
        <v>729</v>
      </c>
    </row>
    <row r="48" spans="1:4" ht="35" customHeight="1" x14ac:dyDescent="0.45">
      <c r="A48" s="63" t="s">
        <v>730</v>
      </c>
      <c r="B48" s="64" t="s">
        <v>731</v>
      </c>
      <c r="C48" s="65" t="s">
        <v>732</v>
      </c>
      <c r="D48" s="39" t="s">
        <v>733</v>
      </c>
    </row>
    <row r="49" spans="1:4" ht="35" customHeight="1" x14ac:dyDescent="0.45">
      <c r="A49" s="66" t="s">
        <v>734</v>
      </c>
      <c r="B49" s="67" t="s">
        <v>735</v>
      </c>
      <c r="C49" s="68" t="s">
        <v>736</v>
      </c>
      <c r="D49" s="69" t="s">
        <v>691</v>
      </c>
    </row>
    <row r="51" spans="1:4" ht="20" customHeight="1" x14ac:dyDescent="0.45">
      <c r="A51" s="87" t="s">
        <v>737</v>
      </c>
      <c r="B51" s="71"/>
      <c r="C51" s="71"/>
      <c r="D51" s="71"/>
    </row>
    <row r="52" spans="1:4" ht="120" customHeight="1" x14ac:dyDescent="0.45">
      <c r="A52" s="86" t="s">
        <v>738</v>
      </c>
      <c r="B52" s="71"/>
      <c r="C52" s="71"/>
      <c r="D52" s="71"/>
    </row>
  </sheetData>
  <mergeCells count="6">
    <mergeCell ref="A1:D1"/>
    <mergeCell ref="A34:D34"/>
    <mergeCell ref="A11:D11"/>
    <mergeCell ref="A3:D3"/>
    <mergeCell ref="A52:D52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MATRICE MCDA</vt:lpstr>
      <vt:lpstr>PESI &amp; CONFIGURAZIONE</vt:lpstr>
      <vt:lpstr>ARCHITETTURA SISTEMA IBRIDO</vt:lpstr>
      <vt:lpstr>ISTRUZIONI &amp; GLOSSARIO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UMBERTO GUERRA</cp:lastModifiedBy>
  <dcterms:created xsi:type="dcterms:W3CDTF">2026-04-27T10:00:28Z</dcterms:created>
  <dcterms:modified xsi:type="dcterms:W3CDTF">2026-04-27T16:33:05Z</dcterms:modified>
</cp:coreProperties>
</file>